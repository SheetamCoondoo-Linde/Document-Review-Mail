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8ti61\Documents\Document Review Mail\"/>
    </mc:Choice>
  </mc:AlternateContent>
  <xr:revisionPtr revIDLastSave="0" documentId="13_ncr:1_{9A0F06E2-D823-4805-AB73-C8EE3D962D80}" xr6:coauthVersionLast="47" xr6:coauthVersionMax="47" xr10:uidLastSave="{00000000-0000-0000-0000-000000000000}"/>
  <bookViews>
    <workbookView xWindow="28680" yWindow="-120" windowWidth="25440" windowHeight="15270" firstSheet="1" activeTab="1" xr2:uid="{174F11EF-D037-4CA2-9D13-66BBA84F28A2}"/>
  </bookViews>
  <sheets>
    <sheet name="Introduction" sheetId="6" r:id="rId1"/>
    <sheet name="Master Document" sheetId="9" r:id="rId2"/>
    <sheet name="Sheet2" sheetId="8" r:id="rId3"/>
    <sheet name="test28M" sheetId="13" r:id="rId4"/>
    <sheet name="Formatting Style" sheetId="3" r:id="rId5"/>
    <sheet name="Status_report" sheetId="2" r:id="rId6"/>
    <sheet name="Master Document sandeep test" sheetId="1" r:id="rId7"/>
  </sheets>
  <definedNames>
    <definedName name="_xlnm._FilterDatabase" localSheetId="1" hidden="1">'Master Document'!$A$7:$J$102</definedName>
    <definedName name="_xlnm._FilterDatabase" localSheetId="6" hidden="1">'Master Document sandeep test'!$A$7:$H$94</definedName>
    <definedName name="_xlnm._FilterDatabase" localSheetId="3" hidden="1">test28M!$A$7:$I$93</definedName>
    <definedName name="_xlcn.WorksheetConnection_MasterDocumentB12E911" hidden="1">'Master Document sandeep test'!$B$11:$D$87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Master Document!$B$12:$E$9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" i="9" l="1"/>
  <c r="I100" i="9"/>
  <c r="I18" i="9"/>
  <c r="E42" i="9"/>
  <c r="I98" i="9"/>
  <c r="I97" i="9"/>
  <c r="I69" i="13"/>
  <c r="I96" i="9"/>
  <c r="I95" i="9" l="1"/>
  <c r="I94" i="9"/>
  <c r="I93" i="9"/>
  <c r="I11" i="13"/>
  <c r="E12" i="13"/>
  <c r="I12" i="13"/>
  <c r="I13" i="13"/>
  <c r="I14" i="13"/>
  <c r="I15" i="13"/>
  <c r="I16" i="13"/>
  <c r="E17" i="13"/>
  <c r="I17" i="13"/>
  <c r="E18" i="13"/>
  <c r="I18" i="13"/>
  <c r="E20" i="13"/>
  <c r="I20" i="13"/>
  <c r="E21" i="13"/>
  <c r="I21" i="13" s="1"/>
  <c r="E22" i="13"/>
  <c r="I22" i="13"/>
  <c r="I23" i="13"/>
  <c r="I24" i="13"/>
  <c r="E25" i="13"/>
  <c r="I25" i="13"/>
  <c r="I26" i="13"/>
  <c r="E27" i="13"/>
  <c r="I27" i="13"/>
  <c r="I28" i="13"/>
  <c r="E29" i="13"/>
  <c r="I29" i="13"/>
  <c r="E30" i="13"/>
  <c r="I30" i="13" s="1"/>
  <c r="E31" i="13"/>
  <c r="I31" i="13"/>
  <c r="E32" i="13"/>
  <c r="I32" i="13" s="1"/>
  <c r="E33" i="13"/>
  <c r="I33" i="13"/>
  <c r="E34" i="13"/>
  <c r="I34" i="13"/>
  <c r="E35" i="13"/>
  <c r="I35" i="13"/>
  <c r="E36" i="13"/>
  <c r="I36" i="13"/>
  <c r="E37" i="13"/>
  <c r="I37" i="13" s="1"/>
  <c r="E38" i="13"/>
  <c r="I38" i="13"/>
  <c r="E39" i="13"/>
  <c r="I39" i="13" s="1"/>
  <c r="E40" i="13"/>
  <c r="I40" i="13"/>
  <c r="I41" i="13"/>
  <c r="E42" i="13"/>
  <c r="I42" i="13"/>
  <c r="E43" i="13"/>
  <c r="I43" i="13"/>
  <c r="I44" i="13"/>
  <c r="I45" i="13"/>
  <c r="I46" i="13"/>
  <c r="I47" i="13"/>
  <c r="E48" i="13"/>
  <c r="I48" i="13"/>
  <c r="E49" i="13"/>
  <c r="I49" i="13"/>
  <c r="E50" i="13"/>
  <c r="I50" i="13"/>
  <c r="E51" i="13"/>
  <c r="I51" i="13"/>
  <c r="E52" i="13"/>
  <c r="I52" i="13"/>
  <c r="I53" i="13"/>
  <c r="I54" i="13"/>
  <c r="E55" i="13"/>
  <c r="I55" i="13" s="1"/>
  <c r="I56" i="13"/>
  <c r="E57" i="13"/>
  <c r="I57" i="13"/>
  <c r="I58" i="13"/>
  <c r="E59" i="13"/>
  <c r="I59" i="13"/>
  <c r="I60" i="13"/>
  <c r="I61" i="13"/>
  <c r="E62" i="13"/>
  <c r="I62" i="13"/>
  <c r="E63" i="13"/>
  <c r="I63" i="13"/>
  <c r="E64" i="13"/>
  <c r="I64" i="13"/>
  <c r="E65" i="13"/>
  <c r="I65" i="13"/>
  <c r="E66" i="13"/>
  <c r="I66" i="13"/>
  <c r="E67" i="13"/>
  <c r="I67" i="13"/>
  <c r="E68" i="13"/>
  <c r="I68" i="13"/>
  <c r="E70" i="13"/>
  <c r="I70" i="13"/>
  <c r="E71" i="13"/>
  <c r="I71" i="13" s="1"/>
  <c r="I72" i="13"/>
  <c r="E73" i="13"/>
  <c r="I73" i="13"/>
  <c r="I74" i="13"/>
  <c r="I75" i="13"/>
  <c r="E76" i="13"/>
  <c r="I76" i="13"/>
  <c r="E77" i="13"/>
  <c r="E78" i="13"/>
  <c r="I78" i="13"/>
  <c r="E79" i="13"/>
  <c r="I79" i="13"/>
  <c r="E80" i="13"/>
  <c r="I80" i="13" s="1"/>
  <c r="I81" i="13"/>
  <c r="E82" i="13"/>
  <c r="I82" i="13"/>
  <c r="I83" i="13"/>
  <c r="E84" i="13"/>
  <c r="I84" i="13"/>
  <c r="I85" i="13"/>
  <c r="I86" i="13"/>
  <c r="I87" i="13"/>
  <c r="I88" i="13"/>
  <c r="I89" i="13"/>
  <c r="I90" i="13"/>
  <c r="I91" i="13"/>
  <c r="I92" i="13"/>
  <c r="I93" i="13"/>
  <c r="H24" i="1"/>
  <c r="H25" i="1"/>
  <c r="H27" i="1"/>
  <c r="H29" i="1"/>
  <c r="H40" i="1"/>
  <c r="H42" i="1"/>
  <c r="H45" i="1"/>
  <c r="H46" i="1"/>
  <c r="H47" i="1"/>
  <c r="H48" i="1"/>
  <c r="H54" i="1"/>
  <c r="H55" i="1"/>
  <c r="H57" i="1"/>
  <c r="H59" i="1"/>
  <c r="H60" i="1"/>
  <c r="H61" i="1"/>
  <c r="H62" i="1"/>
  <c r="H70" i="1"/>
  <c r="H73" i="1"/>
  <c r="H75" i="1"/>
  <c r="H76" i="1"/>
  <c r="H82" i="1"/>
  <c r="H84" i="1"/>
  <c r="H86" i="1"/>
  <c r="H87" i="1"/>
  <c r="H88" i="1"/>
  <c r="H89" i="1"/>
  <c r="H90" i="1"/>
  <c r="H91" i="1"/>
  <c r="H92" i="1"/>
  <c r="H93" i="1"/>
  <c r="H94" i="1"/>
  <c r="E77" i="1"/>
  <c r="H77" i="1" s="1"/>
  <c r="E78" i="1"/>
  <c r="H78" i="1" s="1"/>
  <c r="E79" i="1"/>
  <c r="H79" i="1" s="1"/>
  <c r="E80" i="1"/>
  <c r="H80" i="1" s="1"/>
  <c r="E81" i="1"/>
  <c r="H81" i="1" s="1"/>
  <c r="E83" i="1"/>
  <c r="H83" i="1" s="1"/>
  <c r="E85" i="1"/>
  <c r="H85" i="1" s="1"/>
  <c r="E63" i="1"/>
  <c r="H63" i="1" s="1"/>
  <c r="E64" i="1"/>
  <c r="H64" i="1" s="1"/>
  <c r="E65" i="1"/>
  <c r="H65" i="1" s="1"/>
  <c r="E66" i="1"/>
  <c r="H66" i="1" s="1"/>
  <c r="E67" i="1"/>
  <c r="H67" i="1" s="1"/>
  <c r="E68" i="1"/>
  <c r="H68" i="1" s="1"/>
  <c r="E69" i="1"/>
  <c r="H69" i="1" s="1"/>
  <c r="E71" i="1"/>
  <c r="H71" i="1" s="1"/>
  <c r="E72" i="1"/>
  <c r="H72" i="1" s="1"/>
  <c r="E74" i="1"/>
  <c r="H74" i="1" s="1"/>
  <c r="E60" i="1"/>
  <c r="E58" i="1"/>
  <c r="H58" i="1" s="1"/>
  <c r="E56" i="1"/>
  <c r="H56" i="1" s="1"/>
  <c r="E49" i="1"/>
  <c r="H49" i="1" s="1"/>
  <c r="E50" i="1"/>
  <c r="H50" i="1" s="1"/>
  <c r="E51" i="1"/>
  <c r="H51" i="1" s="1"/>
  <c r="E52" i="1"/>
  <c r="H52" i="1" s="1"/>
  <c r="E53" i="1"/>
  <c r="H53" i="1" s="1"/>
  <c r="E43" i="1"/>
  <c r="H43" i="1" s="1"/>
  <c r="E44" i="1"/>
  <c r="H44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E41" i="1"/>
  <c r="H41" i="1" s="1"/>
  <c r="E28" i="1"/>
  <c r="H28" i="1" s="1"/>
  <c r="E26" i="1"/>
  <c r="H26" i="1" s="1"/>
  <c r="E21" i="1"/>
  <c r="H21" i="1" s="1"/>
  <c r="E22" i="1"/>
  <c r="H22" i="1" s="1"/>
  <c r="E23" i="1"/>
  <c r="H23" i="1" s="1"/>
  <c r="E18" i="1"/>
  <c r="E19" i="1"/>
  <c r="E13" i="1"/>
  <c r="I92" i="9"/>
  <c r="I72" i="9"/>
  <c r="I86" i="9"/>
  <c r="I91" i="9"/>
  <c r="I82" i="9"/>
  <c r="I85" i="9"/>
  <c r="I84" i="9"/>
  <c r="H20" i="1"/>
  <c r="I28" i="9"/>
  <c r="I26" i="9"/>
  <c r="I90" i="9"/>
  <c r="I89" i="9"/>
  <c r="I88" i="9"/>
  <c r="I87" i="9"/>
  <c r="E83" i="9"/>
  <c r="I83" i="9" s="1"/>
  <c r="I75" i="9"/>
  <c r="I46" i="9"/>
  <c r="E81" i="9"/>
  <c r="I81" i="9" s="1"/>
  <c r="I80" i="9"/>
  <c r="E79" i="9"/>
  <c r="I79" i="9" s="1"/>
  <c r="E78" i="9"/>
  <c r="I78" i="9" s="1"/>
  <c r="E77" i="9"/>
  <c r="I77" i="9" s="1"/>
  <c r="E76" i="9"/>
  <c r="I76" i="9" s="1"/>
  <c r="I74" i="9"/>
  <c r="E73" i="9"/>
  <c r="I73" i="9" s="1"/>
  <c r="E71" i="9"/>
  <c r="I71" i="9" s="1"/>
  <c r="E70" i="9"/>
  <c r="I70" i="9" s="1"/>
  <c r="I69" i="9"/>
  <c r="E68" i="9"/>
  <c r="I68" i="9" s="1"/>
  <c r="E67" i="9"/>
  <c r="I67" i="9" s="1"/>
  <c r="E66" i="9"/>
  <c r="I66" i="9" s="1"/>
  <c r="E65" i="9"/>
  <c r="I65" i="9" s="1"/>
  <c r="E64" i="9"/>
  <c r="I64" i="9" s="1"/>
  <c r="E63" i="9"/>
  <c r="I63" i="9" s="1"/>
  <c r="E62" i="9"/>
  <c r="I62" i="9" s="1"/>
  <c r="I61" i="9"/>
  <c r="I60" i="9"/>
  <c r="E59" i="9"/>
  <c r="I59" i="9" s="1"/>
  <c r="I58" i="9"/>
  <c r="E57" i="9"/>
  <c r="I57" i="9" s="1"/>
  <c r="I56" i="9"/>
  <c r="E55" i="9"/>
  <c r="I55" i="9" s="1"/>
  <c r="I54" i="9"/>
  <c r="I53" i="9"/>
  <c r="E52" i="9"/>
  <c r="I52" i="9" s="1"/>
  <c r="E51" i="9"/>
  <c r="I51" i="9" s="1"/>
  <c r="E50" i="9"/>
  <c r="I50" i="9" s="1"/>
  <c r="E49" i="9"/>
  <c r="I49" i="9" s="1"/>
  <c r="E48" i="9"/>
  <c r="I48" i="9" s="1"/>
  <c r="I47" i="9"/>
  <c r="I45" i="9"/>
  <c r="I44" i="9"/>
  <c r="E43" i="9"/>
  <c r="I43" i="9" s="1"/>
  <c r="I42" i="9"/>
  <c r="I41" i="9"/>
  <c r="E40" i="9"/>
  <c r="I40" i="9" s="1"/>
  <c r="E39" i="9"/>
  <c r="I39" i="9" s="1"/>
  <c r="E38" i="9"/>
  <c r="I38" i="9" s="1"/>
  <c r="E37" i="9"/>
  <c r="I37" i="9" s="1"/>
  <c r="E36" i="9"/>
  <c r="I36" i="9" s="1"/>
  <c r="E35" i="9"/>
  <c r="I35" i="9" s="1"/>
  <c r="E34" i="9"/>
  <c r="I34" i="9" s="1"/>
  <c r="E33" i="9"/>
  <c r="I33" i="9" s="1"/>
  <c r="E32" i="9"/>
  <c r="I32" i="9" s="1"/>
  <c r="E31" i="9"/>
  <c r="I31" i="9" s="1"/>
  <c r="E30" i="9"/>
  <c r="I30" i="9" s="1"/>
  <c r="E29" i="9"/>
  <c r="I29" i="9" s="1"/>
  <c r="E27" i="9"/>
  <c r="I27" i="9" s="1"/>
  <c r="E25" i="9"/>
  <c r="I25" i="9" s="1"/>
  <c r="I24" i="9"/>
  <c r="I23" i="9"/>
  <c r="E22" i="9"/>
  <c r="I22" i="9" s="1"/>
  <c r="E21" i="9"/>
  <c r="I21" i="9" s="1"/>
  <c r="E20" i="9"/>
  <c r="I20" i="9" s="1"/>
  <c r="E17" i="9"/>
  <c r="I17" i="9" s="1"/>
  <c r="I16" i="9"/>
  <c r="I15" i="9"/>
  <c r="I14" i="9"/>
  <c r="I13" i="9"/>
  <c r="E12" i="9"/>
  <c r="I1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72E2BB-67EC-4C76-B2AA-AA79470D0F5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96B1232-D619-4A33-BBDD-625B5E170DE1}" name="WorksheetConnection_Master Document!$B$12:$E$9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asterDocumentB12E9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Document Nam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<sst xmlns="http://schemas.openxmlformats.org/spreadsheetml/2006/main" count="1262" uniqueCount="169">
  <si>
    <t>All the documents are to be upto date as per the Review Date</t>
  </si>
  <si>
    <t>All the responsible Owners for each document should be responsible to update the documents as per the next review dates</t>
  </si>
  <si>
    <t>Both Owner 1 and Owner 2 are responsible for the document to uptodate on each review</t>
  </si>
  <si>
    <t>Next review date should be mentioned by the Owners in the Catalogue after the first rivew completed and the review will take place every 6 months</t>
  </si>
  <si>
    <t>All the memembers in the Basis will use these set of documents to work on the each activity</t>
  </si>
  <si>
    <t>Should not use any local documents for the activities and they need to refer the documents that are mentioned in the Document Catalogue</t>
  </si>
  <si>
    <t>If any new documents to be added to Document Catalogue they need to contact Santosh/Deep to update the Dcoument Catalogue</t>
  </si>
  <si>
    <t>The link and location of the documents should not changed in case if it is need please contact Santosh/Deep</t>
  </si>
  <si>
    <t>If any new changes to the documents are required then they need to contact the owners of the documents to up to date</t>
  </si>
  <si>
    <t>This document catalogue is maintaned by Santosh Kumar and Sandeep Kumar Jha. Please let us know for any questions for updates.</t>
  </si>
  <si>
    <t>Click Here</t>
  </si>
  <si>
    <t>Fomat Document Link</t>
  </si>
  <si>
    <t>Linde</t>
  </si>
  <si>
    <t>SL No:</t>
  </si>
  <si>
    <t>Document Name</t>
  </si>
  <si>
    <t xml:space="preserve">Location of the Document with Link </t>
  </si>
  <si>
    <t>Responsible</t>
  </si>
  <si>
    <t>Review Cycle (days)</t>
  </si>
  <si>
    <t>Remarks</t>
  </si>
  <si>
    <t>Status</t>
  </si>
  <si>
    <t>Review Date</t>
  </si>
  <si>
    <t>Next Planned Review Date</t>
  </si>
  <si>
    <t>PROCESS DOCUMENT LIST</t>
  </si>
  <si>
    <t>Basis SOP</t>
  </si>
  <si>
    <t>Santosh</t>
  </si>
  <si>
    <t>Processes change periodically</t>
  </si>
  <si>
    <t>Review Done</t>
  </si>
  <si>
    <t>SAP SID List</t>
  </si>
  <si>
    <t>Praveen</t>
  </si>
  <si>
    <t>Communication_BestPractice_V1.0</t>
  </si>
  <si>
    <t>Sudipta</t>
  </si>
  <si>
    <t>SOP_EscalationProcess_V1.0</t>
  </si>
  <si>
    <t>Rajiv</t>
  </si>
  <si>
    <t>KPI_Guidelines_V1.0</t>
  </si>
  <si>
    <t>Alok</t>
  </si>
  <si>
    <t>LO_TO_Responsibility_v1.0</t>
  </si>
  <si>
    <t>Vladimir</t>
  </si>
  <si>
    <t>Basis Operations DO's and DON’T's</t>
  </si>
  <si>
    <t>Basis Security Guidelines</t>
  </si>
  <si>
    <t>Sumit</t>
  </si>
  <si>
    <t>TECHNICAL DOCUMENT LIST</t>
  </si>
  <si>
    <t>System Refresh</t>
  </si>
  <si>
    <t>Deepjyoti</t>
  </si>
  <si>
    <t>Infrastructure changes possible</t>
  </si>
  <si>
    <t>System Built HANA</t>
  </si>
  <si>
    <t>In Progress</t>
  </si>
  <si>
    <t>System Built Oracle</t>
  </si>
  <si>
    <t>System De-commissioning</t>
  </si>
  <si>
    <t>Basis System Security Guidelines</t>
  </si>
  <si>
    <t>LCM Technical SOP</t>
  </si>
  <si>
    <t>Sourav</t>
  </si>
  <si>
    <t>LCM Process SOP</t>
  </si>
  <si>
    <t>Stefan Lancaric</t>
  </si>
  <si>
    <t>DB13 configuration</t>
  </si>
  <si>
    <t>ST06 configuration</t>
  </si>
  <si>
    <t>Pavol</t>
  </si>
  <si>
    <t>HANA conversion using DMO</t>
  </si>
  <si>
    <t>ASE Database space check</t>
  </si>
  <si>
    <t>SNC/SSO Configuration</t>
  </si>
  <si>
    <t>Self system restoration (oracle)</t>
  </si>
  <si>
    <t>HANA System Restore and recovery in FCI</t>
  </si>
  <si>
    <t>Andrej</t>
  </si>
  <si>
    <t>System Monitoring ECC/Oracle</t>
  </si>
  <si>
    <t>Subhasish</t>
  </si>
  <si>
    <t>System Monitoring ECC/HANA</t>
  </si>
  <si>
    <t>System Monitoring ECC/SYBASE</t>
  </si>
  <si>
    <t>ADS Configuration</t>
  </si>
  <si>
    <t>Sybase ASE - Auto DB Expansion Config</t>
  </si>
  <si>
    <t>HANA Post Installation Check</t>
  </si>
  <si>
    <t>Linde Internal Certificate Renewal Process</t>
  </si>
  <si>
    <t>Sreejita</t>
  </si>
  <si>
    <t xml:space="preserve">ASE system Installation in Azure Platform </t>
  </si>
  <si>
    <t>SAP Cloud Connector Document</t>
  </si>
  <si>
    <t>Utsha</t>
  </si>
  <si>
    <t xml:space="preserve">SAP-Router installation steps </t>
  </si>
  <si>
    <t>Imran</t>
  </si>
  <si>
    <t>SAP BW/4HANA 2023 SPS upgrade</t>
  </si>
  <si>
    <t>HANA SPS upgrade</t>
  </si>
  <si>
    <t>Oracle 19c upgrade</t>
  </si>
  <si>
    <t>SLT Installation</t>
  </si>
  <si>
    <t>Webdisptacher Connections Setup</t>
  </si>
  <si>
    <t>Samyukta</t>
  </si>
  <si>
    <t>Procedure for Client copy</t>
  </si>
  <si>
    <t>Ivan</t>
  </si>
  <si>
    <t>Tablespace analysis</t>
  </si>
  <si>
    <t>Redo Log configuration</t>
  </si>
  <si>
    <t>Mass job change</t>
  </si>
  <si>
    <t>GTS S4 Conversion</t>
  </si>
  <si>
    <t>Solman upgrade</t>
  </si>
  <si>
    <t>Ariba Configuration</t>
  </si>
  <si>
    <t>SCOT Configuration -outgoing email</t>
  </si>
  <si>
    <t>Pravin</t>
  </si>
  <si>
    <t>HANA Parameter check</t>
  </si>
  <si>
    <t>Workflow Configuration</t>
  </si>
  <si>
    <t>Configure Standard jobs using SJOBREPO</t>
  </si>
  <si>
    <t>Netapp Migration</t>
  </si>
  <si>
    <t>Vfaas to Pfaas Migration</t>
  </si>
  <si>
    <t xml:space="preserve">Sumit </t>
  </si>
  <si>
    <t>IBP Add-on Installation</t>
  </si>
  <si>
    <t>Wily Upgrade</t>
  </si>
  <si>
    <t>SybaseASE patch upgrade</t>
  </si>
  <si>
    <t>SMD Agent Monitoring Pause</t>
  </si>
  <si>
    <t>ODBC installation</t>
  </si>
  <si>
    <t>SOP HANA DB ADmin users</t>
  </si>
  <si>
    <t>JS_AGENT locked and unlocked</t>
  </si>
  <si>
    <t>Pacadm list</t>
  </si>
  <si>
    <t>SPNEGO_ABAP_STACKS</t>
  </si>
  <si>
    <t>SOAMANAGER CONFIGURATION</t>
  </si>
  <si>
    <t xml:space="preserve">Pravin </t>
  </si>
  <si>
    <t>MYID PAA_Secondary Account creation</t>
  </si>
  <si>
    <t>PROCESS FOR NEW SERVER PROVISIONING FCI and AZURE</t>
  </si>
  <si>
    <t>Configtool_VNC_process</t>
  </si>
  <si>
    <t>HDBUSERSTORE_DBACOCKPIT_ISSUE_resolve</t>
  </si>
  <si>
    <t>EWA Configuration</t>
  </si>
  <si>
    <t>Nabojita</t>
  </si>
  <si>
    <t>SMD_Agent_installation</t>
  </si>
  <si>
    <t>LCM Enhanced Execution Process</t>
  </si>
  <si>
    <t>Disaster Recovery Testing  for S4 HANA</t>
  </si>
  <si>
    <t>SEEBURGER Certificate Renewal Guidelines</t>
  </si>
  <si>
    <t xml:space="preserve">MyPAS – SAP Linux and Windows Technical Service accounts and SAP Technical Team password management Process </t>
  </si>
  <si>
    <t>Michael S</t>
  </si>
  <si>
    <t xml:space="preserve">Automated Check of SCC4 &amp; SE06 Settings </t>
  </si>
  <si>
    <t xml:space="preserve">FIORI_BTP_Setup </t>
  </si>
  <si>
    <t>DBACockpit_connection_systemdb</t>
  </si>
  <si>
    <t>AFL_SAP_SETUP</t>
  </si>
  <si>
    <t>STRUST and SAP License</t>
  </si>
  <si>
    <t>SCC4 settings</t>
  </si>
  <si>
    <t>scripting parameter.</t>
  </si>
  <si>
    <t>How to manage SAP standard templates</t>
  </si>
  <si>
    <t>How to update SAPLogon entries on laptops</t>
  </si>
  <si>
    <t>How to update SAPUILandscape.xml file  for packaging</t>
  </si>
  <si>
    <t>HANA DB security Hardening Guide</t>
  </si>
  <si>
    <t>SAP Initial Basic Configuration of New Installed SAP System</t>
  </si>
  <si>
    <t>Christian Seitz</t>
  </si>
  <si>
    <t xml:space="preserve">SAP SID XSA OS User Setup </t>
  </si>
  <si>
    <t>Linux TSA user account creation</t>
  </si>
  <si>
    <t>Create Maintenance File</t>
  </si>
  <si>
    <t>DTH_XSA_Restoration</t>
  </si>
  <si>
    <t>QTH_Security_Hardening</t>
  </si>
  <si>
    <t>Automation Inventory</t>
  </si>
  <si>
    <t xml:space="preserve">PS: </t>
  </si>
  <si>
    <t>Verified (YES/NO) – Means Proper Document link is Placed or not</t>
  </si>
  <si>
    <t xml:space="preserve">         </t>
  </si>
  <si>
    <t>Status – Means Proper Formatting has been done or not.</t>
  </si>
  <si>
    <t>All</t>
  </si>
  <si>
    <t>Row Labels</t>
  </si>
  <si>
    <t>Count of Document Name</t>
  </si>
  <si>
    <t>(blank)</t>
  </si>
  <si>
    <t>Andrez</t>
  </si>
  <si>
    <t>Sandeep</t>
  </si>
  <si>
    <t>Subhashish</t>
  </si>
  <si>
    <t>Grand Total</t>
  </si>
  <si>
    <t>HANA System Restore in FCI</t>
  </si>
  <si>
    <t>Correct document link updated and need an review by Ivan and date finalisation</t>
  </si>
  <si>
    <t>SCOT Configuration</t>
  </si>
  <si>
    <t>Verification Pending from Thomas Gerulat</t>
  </si>
  <si>
    <t>Recovery HANA system</t>
  </si>
  <si>
    <t>NA</t>
  </si>
  <si>
    <t>Font Name:</t>
  </si>
  <si>
    <t xml:space="preserve"> LindeDaxoffice</t>
  </si>
  <si>
    <t xml:space="preserve">Size for Header </t>
  </si>
  <si>
    <t>Size for Footer</t>
  </si>
  <si>
    <t>Size of Content</t>
  </si>
  <si>
    <t>Back</t>
  </si>
  <si>
    <t>Start Date</t>
  </si>
  <si>
    <t>End Date</t>
  </si>
  <si>
    <t>Not Completed</t>
  </si>
  <si>
    <t>In progress</t>
  </si>
  <si>
    <t>XSA Sizing &amp; Resource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</si>
</sst>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LindeDaxOffice"/>
      <family val="2"/>
    </font>
    <font>
      <b/>
      <sz val="12"/>
      <color theme="1"/>
      <name val="LindeDaxOffice"/>
      <family val="2"/>
    </font>
    <font>
      <sz val="12"/>
      <color theme="1"/>
      <name val="LindeDaxOffice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LindeDaxOffice"/>
      <family val="2"/>
    </font>
    <font>
      <b/>
      <sz val="10"/>
      <color theme="1"/>
      <name val="LindeDaxOffice"/>
      <family val="2"/>
    </font>
    <font>
      <sz val="11"/>
      <color rgb="FF000000"/>
      <name val="LindeDaxOffice"/>
      <family val="2"/>
    </font>
    <font>
      <b/>
      <sz val="11"/>
      <color theme="1"/>
      <name val="LindeDaxOffice"/>
      <family val="2"/>
    </font>
    <font>
      <b/>
      <u/>
      <sz val="16"/>
      <color theme="10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b/>
      <sz val="16"/>
      <color theme="1"/>
      <name val="LindeDaxOffice"/>
      <family val="2"/>
    </font>
    <font>
      <sz val="8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LindeDaxOffice"/>
    </font>
    <font>
      <b/>
      <sz val="12"/>
      <color theme="1"/>
      <name val="LindeDaxOffice"/>
    </font>
    <font>
      <sz val="12"/>
      <color theme="1"/>
      <name val="LindeDaxOffice"/>
    </font>
    <font>
      <b/>
      <sz val="10"/>
      <color theme="1"/>
      <name val="LindeDaxOffice"/>
    </font>
    <font>
      <sz val="11"/>
      <color rgb="FF000000"/>
      <name val="LindeDaxOffice"/>
    </font>
    <font>
      <b/>
      <sz val="11"/>
      <color theme="1"/>
      <name val="LindeDaxOffice"/>
    </font>
    <font>
      <b/>
      <sz val="16"/>
      <color theme="1"/>
      <name val="LindeDaxOffice"/>
    </font>
    <font>
      <b/>
      <sz val="12"/>
      <color theme="1"/>
      <name val="Aptos"/>
    </font>
    <font>
      <sz val="11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0" fontId="2" fillId="0" borderId="13" xfId="0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10" fillId="2" borderId="0" xfId="1" applyFont="1" applyFill="1"/>
    <xf numFmtId="0" fontId="11" fillId="4" borderId="0" xfId="1" applyFont="1" applyFill="1" applyAlignment="1">
      <alignment vertical="center"/>
    </xf>
    <xf numFmtId="0" fontId="11" fillId="4" borderId="0" xfId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5" fillId="0" borderId="1" xfId="1" applyBorder="1" applyAlignment="1">
      <alignment horizont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14" fontId="2" fillId="0" borderId="1" xfId="0" applyNumberFormat="1" applyFont="1" applyBorder="1" applyAlignment="1">
      <alignment horizontal="center"/>
    </xf>
    <xf numFmtId="0" fontId="5" fillId="0" borderId="1" xfId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/>
    <xf numFmtId="0" fontId="16" fillId="0" borderId="0" xfId="0" applyFont="1" applyAlignment="1">
      <alignment horizontal="center"/>
    </xf>
    <xf numFmtId="0" fontId="16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pivotButton="1"/>
    <xf numFmtId="0" fontId="17" fillId="0" borderId="0" xfId="0" applyFont="1"/>
    <xf numFmtId="0" fontId="3" fillId="0" borderId="14" xfId="0" applyFont="1" applyBorder="1" applyAlignment="1">
      <alignment horizontal="center"/>
    </xf>
    <xf numFmtId="0" fontId="18" fillId="0" borderId="0" xfId="0" applyFont="1"/>
    <xf numFmtId="0" fontId="18" fillId="0" borderId="17" xfId="0" applyFont="1" applyBorder="1"/>
    <xf numFmtId="14" fontId="18" fillId="0" borderId="1" xfId="0" applyNumberFormat="1" applyFont="1" applyBorder="1" applyAlignment="1">
      <alignment horizont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2" fontId="2" fillId="0" borderId="0" xfId="0" applyNumberFormat="1" applyFont="1"/>
    <xf numFmtId="0" fontId="2" fillId="0" borderId="0" xfId="0" applyFont="1" applyAlignment="1">
      <alignment horizontal="center"/>
    </xf>
    <xf numFmtId="1" fontId="2" fillId="0" borderId="0" xfId="0" applyNumberFormat="1" applyFont="1"/>
    <xf numFmtId="1" fontId="2" fillId="0" borderId="1" xfId="0" applyNumberFormat="1" applyFont="1" applyBorder="1"/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2" fillId="0" borderId="1" xfId="0" applyNumberFormat="1" applyFont="1" applyBorder="1"/>
    <xf numFmtId="1" fontId="18" fillId="0" borderId="1" xfId="0" applyNumberFormat="1" applyFont="1" applyBorder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0" fontId="5" fillId="0" borderId="17" xfId="1" applyBorder="1" applyAlignment="1">
      <alignment horizontal="center"/>
    </xf>
    <xf numFmtId="14" fontId="18" fillId="0" borderId="1" xfId="0" applyNumberFormat="1" applyFont="1" applyBorder="1"/>
    <xf numFmtId="0" fontId="18" fillId="0" borderId="1" xfId="0" applyFont="1" applyBorder="1" applyAlignment="1">
      <alignment wrapText="1"/>
    </xf>
    <xf numFmtId="0" fontId="3" fillId="0" borderId="19" xfId="0" applyFont="1" applyBorder="1" applyAlignment="1">
      <alignment horizontal="center" wrapText="1"/>
    </xf>
    <xf numFmtId="0" fontId="3" fillId="0" borderId="16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14" fontId="18" fillId="0" borderId="17" xfId="0" applyNumberFormat="1" applyFont="1" applyBorder="1" applyAlignment="1">
      <alignment horizontal="center"/>
    </xf>
    <xf numFmtId="14" fontId="18" fillId="0" borderId="1" xfId="0" applyNumberFormat="1" applyFont="1" applyBorder="1" applyAlignment="1">
      <alignment horizontal="center" vertical="center"/>
    </xf>
    <xf numFmtId="0" fontId="2" fillId="0" borderId="21" xfId="0" applyFont="1" applyBorder="1"/>
    <xf numFmtId="0" fontId="20" fillId="0" borderId="0" xfId="0" applyFont="1"/>
    <xf numFmtId="0" fontId="18" fillId="0" borderId="13" xfId="0" applyFont="1" applyBorder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9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wrapText="1"/>
    </xf>
    <xf numFmtId="0" fontId="19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/>
    </xf>
    <xf numFmtId="2" fontId="18" fillId="0" borderId="0" xfId="0" applyNumberFormat="1" applyFont="1"/>
    <xf numFmtId="1" fontId="18" fillId="0" borderId="0" xfId="0" applyNumberFormat="1" applyFont="1"/>
    <xf numFmtId="0" fontId="2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1" xfId="0" applyFont="1" applyBorder="1"/>
    <xf numFmtId="0" fontId="25" fillId="0" borderId="0" xfId="0" applyFont="1" applyAlignment="1">
      <alignment vertical="center"/>
    </xf>
    <xf numFmtId="0" fontId="19" fillId="0" borderId="0" xfId="0" applyFont="1"/>
    <xf numFmtId="0" fontId="26" fillId="0" borderId="0" xfId="0" applyFont="1" applyAlignment="1">
      <alignment vertical="center"/>
    </xf>
    <xf numFmtId="0" fontId="17" fillId="2" borderId="0" xfId="0" applyFont="1" applyFill="1"/>
    <xf numFmtId="0" fontId="22" fillId="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8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right"/>
    </xf>
    <xf numFmtId="14" fontId="3" fillId="0" borderId="1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right"/>
    </xf>
    <xf numFmtId="14" fontId="18" fillId="0" borderId="1" xfId="0" applyNumberFormat="1" applyFont="1" applyBorder="1" applyAlignment="1">
      <alignment horizontal="right"/>
    </xf>
    <xf numFmtId="14" fontId="18" fillId="0" borderId="0" xfId="0" applyNumberFormat="1" applyFont="1" applyAlignment="1">
      <alignment horizontal="right"/>
    </xf>
    <xf numFmtId="14" fontId="19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8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21" fillId="0" borderId="0" xfId="0" applyFont="1" applyAlignment="1">
      <alignment vertical="center" wrapText="1"/>
    </xf>
    <xf numFmtId="0" fontId="22" fillId="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8" xfId="0" applyFont="1" applyBorder="1" applyAlignment="1">
      <alignment horizontal="center"/>
    </xf>
    <xf numFmtId="0" fontId="23" fillId="0" borderId="2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9"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B0F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Formatting Style'!A1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Formatting Style'!A1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Formatting Style'!A1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81642</xdr:rowOff>
    </xdr:from>
    <xdr:to>
      <xdr:col>8</xdr:col>
      <xdr:colOff>487636</xdr:colOff>
      <xdr:row>4</xdr:row>
      <xdr:rowOff>160848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AA4DB3E5-49ED-4BAB-AD0A-16915CB8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81642"/>
          <a:ext cx="11401142" cy="966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117927</xdr:colOff>
      <xdr:row>1</xdr:row>
      <xdr:rowOff>126999</xdr:rowOff>
    </xdr:from>
    <xdr:to>
      <xdr:col>2</xdr:col>
      <xdr:colOff>2249713</xdr:colOff>
      <xdr:row>2</xdr:row>
      <xdr:rowOff>235857</xdr:rowOff>
    </xdr:to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91CB9B-D84B-4791-865F-A7B9B1400E01}"/>
            </a:ext>
          </a:extLst>
        </xdr:cNvPr>
        <xdr:cNvSpPr txBox="1"/>
      </xdr:nvSpPr>
      <xdr:spPr>
        <a:xfrm>
          <a:off x="644977" y="304799"/>
          <a:ext cx="5211536" cy="2866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2060"/>
              </a:solidFill>
            </a:rPr>
            <a:t>Formating Details </a:t>
          </a:r>
          <a:r>
            <a:rPr lang="en-US" sz="1400" b="1">
              <a:solidFill>
                <a:srgbClr val="C00000"/>
              </a:solidFill>
            </a:rPr>
            <a:t>Click</a:t>
          </a:r>
          <a:r>
            <a:rPr lang="en-US" sz="1400" b="1" baseline="0">
              <a:solidFill>
                <a:srgbClr val="C00000"/>
              </a:solidFill>
            </a:rPr>
            <a:t> Here </a:t>
          </a:r>
          <a:r>
            <a:rPr lang="en-US" sz="1400" b="1" baseline="0">
              <a:solidFill>
                <a:srgbClr val="002060"/>
              </a:solidFill>
            </a:rPr>
            <a:t>or Refer to Formating Style Sheet</a:t>
          </a:r>
          <a:endParaRPr lang="en-US" sz="1400" b="1">
            <a:solidFill>
              <a:srgbClr val="00206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81642</xdr:rowOff>
    </xdr:from>
    <xdr:to>
      <xdr:col>6</xdr:col>
      <xdr:colOff>294993</xdr:colOff>
      <xdr:row>4</xdr:row>
      <xdr:rowOff>137262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A48D7516-7A06-48B0-AD7E-94D6DFCFD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81642"/>
          <a:ext cx="10905842" cy="94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117927</xdr:colOff>
      <xdr:row>1</xdr:row>
      <xdr:rowOff>126999</xdr:rowOff>
    </xdr:from>
    <xdr:to>
      <xdr:col>2</xdr:col>
      <xdr:colOff>2249713</xdr:colOff>
      <xdr:row>2</xdr:row>
      <xdr:rowOff>235857</xdr:rowOff>
    </xdr:to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A2C766-BBE6-4F9E-B047-211B7184615C}"/>
            </a:ext>
            <a:ext uri="{147F2762-F138-4A5C-976F-8EAC2B608ADB}">
              <a16:predDERef xmlns:a16="http://schemas.microsoft.com/office/drawing/2014/main" pred="{A48D7516-7A06-48B0-AD7E-94D6DFCFD843}"/>
            </a:ext>
          </a:extLst>
        </xdr:cNvPr>
        <xdr:cNvSpPr txBox="1"/>
      </xdr:nvSpPr>
      <xdr:spPr>
        <a:xfrm>
          <a:off x="622752" y="298449"/>
          <a:ext cx="4970236" cy="280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2060"/>
              </a:solidFill>
            </a:rPr>
            <a:t>Formating Details </a:t>
          </a:r>
          <a:r>
            <a:rPr lang="en-US" sz="1400" b="1">
              <a:solidFill>
                <a:srgbClr val="C00000"/>
              </a:solidFill>
            </a:rPr>
            <a:t>Click</a:t>
          </a:r>
          <a:r>
            <a:rPr lang="en-US" sz="1400" b="1" baseline="0">
              <a:solidFill>
                <a:srgbClr val="C00000"/>
              </a:solidFill>
            </a:rPr>
            <a:t> Here </a:t>
          </a:r>
          <a:r>
            <a:rPr lang="en-US" sz="1400" b="1" baseline="0">
              <a:solidFill>
                <a:srgbClr val="002060"/>
              </a:solidFill>
            </a:rPr>
            <a:t>or Refer to Formating Style Sheet</a:t>
          </a:r>
          <a:endParaRPr lang="en-US" sz="1400" b="1">
            <a:solidFill>
              <a:srgbClr val="00206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326569</xdr:colOff>
      <xdr:row>0</xdr:row>
      <xdr:rowOff>72571</xdr:rowOff>
    </xdr:from>
    <xdr:to>
      <xdr:col>16</xdr:col>
      <xdr:colOff>607783</xdr:colOff>
      <xdr:row>60</xdr:row>
      <xdr:rowOff>4533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C68322-F129-15D2-5D7D-40696738A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9926" y="72571"/>
          <a:ext cx="8182428" cy="109718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81642</xdr:rowOff>
    </xdr:from>
    <xdr:to>
      <xdr:col>7</xdr:col>
      <xdr:colOff>898243</xdr:colOff>
      <xdr:row>5</xdr:row>
      <xdr:rowOff>137262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3FA5511C-0E4C-46E6-B209-85D9CD82A4DF}"/>
            </a:ext>
            <a:ext uri="{147F2762-F138-4A5C-976F-8EAC2B608ADB}">
              <a16:predDERef xmlns:a16="http://schemas.microsoft.com/office/drawing/2014/main" pred="{8AFFF247-FD84-7E6D-F60B-8B7DE29EF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81642"/>
          <a:ext cx="10905842" cy="94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117927</xdr:colOff>
      <xdr:row>1</xdr:row>
      <xdr:rowOff>126999</xdr:rowOff>
    </xdr:from>
    <xdr:to>
      <xdr:col>2</xdr:col>
      <xdr:colOff>2249713</xdr:colOff>
      <xdr:row>2</xdr:row>
      <xdr:rowOff>235857</xdr:rowOff>
    </xdr:to>
    <xdr:sp macro="" textlink="">
      <xdr:nvSpPr>
        <xdr:cNvPr id="4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58F10D-B405-4D8B-833C-9E5E8E92256A}"/>
            </a:ext>
            <a:ext uri="{147F2762-F138-4A5C-976F-8EAC2B608ADB}">
              <a16:predDERef xmlns:a16="http://schemas.microsoft.com/office/drawing/2014/main" pred="{3FA5511C-0E4C-46E6-B209-85D9CD82A4DF}"/>
            </a:ext>
          </a:extLst>
        </xdr:cNvPr>
        <xdr:cNvSpPr txBox="1"/>
      </xdr:nvSpPr>
      <xdr:spPr>
        <a:xfrm>
          <a:off x="622752" y="298449"/>
          <a:ext cx="4970236" cy="280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2060"/>
              </a:solidFill>
            </a:rPr>
            <a:t>Formating Details </a:t>
          </a:r>
          <a:r>
            <a:rPr lang="en-US" sz="1400" b="1">
              <a:solidFill>
                <a:srgbClr val="C00000"/>
              </a:solidFill>
            </a:rPr>
            <a:t>Click</a:t>
          </a:r>
          <a:r>
            <a:rPr lang="en-US" sz="1400" b="1" baseline="0">
              <a:solidFill>
                <a:srgbClr val="C00000"/>
              </a:solidFill>
            </a:rPr>
            <a:t> Here </a:t>
          </a:r>
          <a:r>
            <a:rPr lang="en-US" sz="1400" b="1" baseline="0">
              <a:solidFill>
                <a:srgbClr val="002060"/>
              </a:solidFill>
            </a:rPr>
            <a:t>or Refer to Formating Style Sheet</a:t>
          </a:r>
          <a:endParaRPr lang="en-US" sz="1400" b="1">
            <a:solidFill>
              <a:srgbClr val="002060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deep Kumar Jha" refreshedDate="46148.594777314815" backgroundQuery="1" createdVersion="8" refreshedVersion="8" minRefreshableVersion="3" recordCount="0" supportSubquery="1" supportAdvancedDrill="1" xr:uid="{D5D47E91-E21A-4CE6-B78F-50B7E4B30BD1}">
  <cacheSource type="external" connectionId="1"/>
  <cacheFields count="3">
    <cacheField name="[Range].[Owner1].[Owner1]" caption="Owner1" numFmtId="0" hierarchy="3" level="1">
      <sharedItems containsBlank="1" count="23">
        <m/>
        <s v="Alok"/>
        <s v="Andrez"/>
        <s v="Deepjyoti"/>
        <s v="Imran"/>
        <s v="Ivan"/>
        <s v="Michael S"/>
        <s v="Nabojita"/>
        <s v="Pavol"/>
        <s v="Praveen"/>
        <s v="Pravin"/>
        <s v="Rajiv"/>
        <s v="Samyukta"/>
        <s v="Sandeep"/>
        <s v="Santosh"/>
        <s v="Sourav"/>
        <s v="Sreejita"/>
        <s v="Stefan Lancaric"/>
        <s v="Subhashish"/>
        <s v="Sudipta"/>
        <s v="Sumit"/>
        <s v="Utsha"/>
        <s v="Vladimir"/>
      </sharedItems>
    </cacheField>
    <cacheField name="[Measures].[Count of Document Name]" caption="Count of Document Name" numFmtId="0" hierarchy="6" level="32767"/>
    <cacheField name="[Range].[Document Name].[Document Name]" caption="Document Name" numFmtId="0" level="1">
      <sharedItems count="79">
        <s v="PROCESS DOCUMENT LIST"/>
        <s v="TECHNICAL DOCUMENT LIST"/>
        <s v="Basis Operations DO's and DON’T's"/>
        <s v="IBP Add-on Installation"/>
        <s v="KPI_Guidelines_V1.0"/>
        <s v="SEEBURGER Certificate Renewal Guidelines"/>
        <s v="SOP HANA DB ADmin users"/>
        <s v="System Built HANA"/>
        <s v="Disaster Recovery Testing  for S4 HANA"/>
        <s v="HANA Parameter check"/>
        <s v="HANA SPS upgrade"/>
        <s v="HANA system restoration using backint"/>
        <s v="DB13 configuration"/>
        <s v="HANA conversion using DMO"/>
        <s v="HDBUSERSTORE_DBACOCKPIT_ISSUE_resolve"/>
        <s v="Oracle 19c upgrade"/>
        <s v="Self system restoration (oracle)"/>
        <s v="System Built Oracle"/>
        <s v="System Refresh"/>
        <s v="Netapp Migration"/>
        <s v="SAP-Router installation steps"/>
        <s v="Solman upgrade"/>
        <s v="Wily Upgrade"/>
        <s v="MYID PAA_Secondary Account creation"/>
        <s v="Procedure for Client copy"/>
        <s v="Recovery HANA system"/>
        <s v="Redo Log configuration"/>
        <s v="Automated Check of SCC4 &amp; SE06 Settings"/>
        <s v="MyPAS – SAP Linux and Windows Technical Service accounts and SAP Technical Team password management Process"/>
        <s v="MyPAS Linux Technical Service account Management"/>
        <s v="EWA Configuration"/>
        <s v="SMD_Agent_installation"/>
        <s v="ASE Database space check"/>
        <s v="HANA Post Installation Check"/>
        <s v="ODBC installation"/>
        <s v="ST06 configuration"/>
        <s v="SAP SID List"/>
        <s v="SCOT Configuration"/>
        <s v="SOAMANAGER CONFIGURATION"/>
        <s v="Configtool_VNC_process"/>
        <s v="Configure Standard jobs using SJOBREPO"/>
        <s v="Pacadm list"/>
        <s v="SOP_EscalationProcess_V1.0"/>
        <s v="Sybase ASE - Auto DB Expansion Config"/>
        <s v="Azure System Migration"/>
        <s v="Webdisptacher Installation"/>
        <s v="LO_TO EffortUtilization_V1.0"/>
        <s v="Basis SOP"/>
        <s v="Cloud Connector Configuration"/>
        <s v="Document_Catalogue_V1.0"/>
        <s v="System De-commissioning"/>
        <s v="GTS S4 Conversion"/>
        <s v="LCM Enhanced Execution Process"/>
        <s v="LCM Technical SOP"/>
        <s v="SybaseASE patch upgrade"/>
        <s v="Linde Internal Certificate Renewal Process"/>
        <s v="Linde_SPIDER_Certificate_Creation"/>
        <s v="SMD Agent Monitoring Pause"/>
        <s v="LCM Process SOP"/>
        <s v="Ariba Configuration"/>
        <s v="PROCESS FOR NEW SERVER PROVISIONING FCI and AZURE"/>
        <s v="SLT Installation"/>
        <s v="System Monitoring ECC/HANA"/>
        <s v="System Monitoring ECC/Oracle"/>
        <s v="System Monitoring ECC/SYBASE"/>
        <s v="Basis System Security Guidelines"/>
        <s v="Communication_BestPractice_V1.0"/>
        <s v="SAP BW/4HANA 2023 SPS upgrade"/>
        <s v="SNC configuration"/>
        <s v="SPNEGO_ABAP_STACKS"/>
        <s v="Workflow Configuration"/>
        <s v="Basis Security Guidelines"/>
        <s v="Vfaas to Pfaas Migration"/>
        <s v="SAP Cloud Connector Document"/>
        <s v="Tablespace analysis"/>
        <s v="ADS Configuration"/>
        <s v="JS_AGENT locked and unlocked"/>
        <s v="LO_TO_Responsibility_v1.0"/>
        <s v="Mass job change"/>
      </sharedItems>
    </cacheField>
  </cacheFields>
  <cacheHierarchies count="8">
    <cacheHierarchy uniqueName="[Range].[Document Name]" caption="Document Name" attribute="1" defaultMemberUniqueName="[Range].[Document Name].[All]" allUniqueName="[Range].[Document Nam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Location of the Document with Link]" caption="Location of the Document with Link" attribute="1" defaultMemberUniqueName="[Range].[Location of the Document with Link].[All]" allUniqueName="[Range].[Location of the Document with Link].[All]" dimensionUniqueName="[Range]" displayFolder="" count="0" memberValueDatatype="130" unbalanced="0"/>
    <cacheHierarchy uniqueName="[Range].[Verified (YES/NO)]" caption="Verified (YES/NO)" attribute="1" defaultMemberUniqueName="[Range].[Verified (YES/NO)].[All]" allUniqueName="[Range].[Verified (YES/NO)].[All]" dimensionUniqueName="[Range]" displayFolder="" count="0" memberValueDatatype="130" unbalanced="0"/>
    <cacheHierarchy uniqueName="[Range].[Owner1]" caption="Owner1" attribute="1" defaultMemberUniqueName="[Range].[Owner1].[All]" allUniqueName="[Range].[Owner1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Document Name]" caption="Count of Document Nam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Document Name]" caption="Distinct Count of Document Nam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1F9FE-1E61-4C91-B8FE-C299344A98DB}" name="PivotTable4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27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dataField="1" subtotalTop="0" showAll="0" defaultSubtotal="0"/>
    <pivotField axis="axisPage" allDrilled="1" subtotalTop="0" showAll="0" dataSourceSort="1" defaultSubtotal="0" defaultAttributeDrillState="1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</items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pageFields count="1">
    <pageField fld="2" hier="0" name="[Range].[Document Name].[All]" cap="All"/>
  </pageFields>
  <dataFields count="1">
    <dataField name="Count of Document Name" fld="1" subtotal="count" baseField="0" baseItem="0"/>
  </dataFields>
  <formats count="4">
    <format dxfId="18">
      <pivotArea dataOnly="0" labelOnly="1" fieldPosition="0">
        <references count="2">
          <reference field="0" count="1" selected="0">
            <x v="8"/>
          </reference>
          <reference field="2" count="2">
            <x v="33"/>
            <x v="34"/>
          </reference>
        </references>
      </pivotArea>
    </format>
    <format dxfId="17">
      <pivotArea dataOnly="0" labelOnly="1" fieldPosition="0">
        <references count="2">
          <reference field="0" count="1" selected="0">
            <x v="20"/>
          </reference>
          <reference field="2" count="1">
            <x v="71"/>
          </reference>
        </references>
      </pivotArea>
    </format>
    <format dxfId="16">
      <pivotArea dataOnly="0" labelOnly="1" fieldPosition="0">
        <references count="2">
          <reference field="0" count="1" selected="0">
            <x v="19"/>
          </reference>
          <reference field="2" count="1">
            <x v="65"/>
          </reference>
        </references>
      </pivotArea>
    </format>
    <format dxfId="15">
      <pivotArea dataOnly="0" labelOnly="1" fieldPosition="0">
        <references count="2">
          <reference field="0" count="1" selected="0">
            <x v="14"/>
          </reference>
          <reference field="2" count="1">
            <x v="48"/>
          </reference>
        </references>
      </pivotArea>
    </format>
  </formats>
  <pivotHierarchies count="8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 Document!$B$12:$E$9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../../../../../../../../:w:/r/sites/Global%20Server%20And%20Platform%20Operations/siops/Shared%20Documents/4%20-%20DOCUMENTATION/Procedure/SOP%20Inc_Pro_Ser_Cha%20Operation%20Handling%20Process%20V4.1.docx?d=wcebbe173c1d44f9ab399f80b3e9529a4&amp;csf=1&amp;web=1&amp;e=yGFOAW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../:w:/r/sites/Global%20Server%20And%20Platform%20Operations/siops/Shared%20Documents/2%20-%20OPERATIONS/LCM/SOP/Sybase%20ASE%20Patch%20Upgrade%202024%20Wave%201.docx?d=w72fb2adb07c7464ab228f71ed49ae3c7&amp;csf=1&amp;web=1&amp;e=lzwfER" TargetMode="External"/><Relationship Id="rId21" Type="http://schemas.openxmlformats.org/officeDocument/2006/relationships/hyperlink" Target="../../../../../../../../../../../../../:w:/r/sites/Global%20Server%20And%20Platform%20Operations/siops/Shared%20Documents/2%20-%20OPERATIONS/REDO%20LOG%20configuration/Redo%20Log%20Configuration.docx?d=wed51b68ce99244a2b66bb2053968f7db&amp;csf=1&amp;web=1&amp;e=cEJX00" TargetMode="External"/><Relationship Id="rId42" Type="http://schemas.openxmlformats.org/officeDocument/2006/relationships/hyperlink" Target="../../../../../../../../../../../../../:w:/r/sites/Global%20Server%20And%20Platform%20Operations/siops/Shared%20Documents/3%20-%20PROJECTS/Solman%20activities/Wily%20upgrade%20ver1.0.docx?d=we84c79449bc642a08e70c41011773e75&amp;csf=1&amp;web=1&amp;e=Liv0rj" TargetMode="External"/><Relationship Id="rId47" Type="http://schemas.openxmlformats.org/officeDocument/2006/relationships/hyperlink" Target="../../../../../../:w:/r/sites/Global%20Server%20And%20Platform%20Operations/siops/Shared%20Documents/3%20-%20PROJECTS/S4%20HANA%20General%20docs/Hana%20System%20build%20docs/SCOT%20CONFIGURATION.docx?d=w928dc3a544e54a99b017a34965fd9dca&amp;csf=1&amp;web=1&amp;e=bPq6Xf" TargetMode="External"/><Relationship Id="rId63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KPIexpectations/KPI_Guidelines_V1.0.docx?d=w89f1c1ddb2244cffae72ede4295d3083&amp;csf=1&amp;web=1&amp;e=BnOxXZ" TargetMode="External"/><Relationship Id="rId68" Type="http://schemas.openxmlformats.org/officeDocument/2006/relationships/hyperlink" Target="../../../../../../:w:/r/sites/Global%20Server%20And%20Platform%20Operations/siops/Shared%20Documents/2%20-%20OPERATIONS/Certificate%20Renewal%20Process/SeeBurger_Certificate_Renewal_Guidelines.docx?d=w94622303f53e4704916c9ed3814c3324&amp;csf=1&amp;web=1&amp;e=n1tZtc" TargetMode="External"/><Relationship Id="rId84" Type="http://schemas.openxmlformats.org/officeDocument/2006/relationships/hyperlink" Target="../../../../../../:w:/r/sites/Global%20Server%20And%20Platform%20Operations/siops/Shared%20Documents/2%20-%20OPERATIONS/HANA/HANA-XSA/XSA%20User%20setup%20in%20OS.docx?d=wb1db1f3fce194537afffadabf2d6ecf3&amp;csf=1&amp;web=1&amp;e=4vUuGT" TargetMode="External"/><Relationship Id="rId89" Type="http://schemas.openxmlformats.org/officeDocument/2006/relationships/hyperlink" Target="../../../../../../:w:/r/sites/Global%20Server%20And%20Platform%20Operations/siops/Shared%20Documents/2%20-%20OPERATIONS/HANA/HANA-XSA/QTH_Security_Hardening.docx?d=w83bfd0a79ecc4afc9ffa3433f66703e0&amp;csf=1&amp;web=1&amp;e=XbeAdD" TargetMode="External"/><Relationship Id="rId16" Type="http://schemas.openxmlformats.org/officeDocument/2006/relationships/hyperlink" Target="../../../../../../../../../../../../../:w:/r/sites/Global%20Server%20And%20Platform%20Operations/siops/Shared%20Documents/2%20-%20OPERATIONS/Certificate%20Renewal%20Process/Linde%20Internal%20Certificate%20Renewal%20Process.docx?d=w8ba010f90e0944c4a5e33c553c298079&amp;csf=1&amp;web=1&amp;e=5KLNCZ" TargetMode="External"/><Relationship Id="rId11" Type="http://schemas.openxmlformats.org/officeDocument/2006/relationships/hyperlink" Target="../../../../../../../../../../../../../:x:/r/sites/Global%20Server%20And%20Platform%20Operations/siops/Shared%20Documents/2%20-%20OPERATIONS/System%20Monitoring/New%20Monitoring%20template/HANA/ECC_S4_Hana_Basic_monitoring_check_v2.xlsx?d=w174b7c0ae54a4460870f185b9b5380f6&amp;csf=1&amp;web=1&amp;e=HJvnyH" TargetMode="External"/><Relationship Id="rId32" Type="http://schemas.openxmlformats.org/officeDocument/2006/relationships/hyperlink" Target="../../../../../../../../../../../../../:w:/r/sites/Global%20Server%20And%20Platform%20Operations/siops/Shared%20Documents/4%20-%20DOCUMENTATION/Landscape/Knowledge%20Base/SPNEGO_ABAP_STACK_UPDATED.docx?d=w3cc80d471de94a35965dc00d0a002790&amp;csf=1&amp;web=1&amp;e=zIdz2W&amp;xsdata=MDV8MDJ8U2FudG9zaC5LdW1hckBsaW5kZS5jb218YThkNDM3YWEwYzIyNGFlZDk0ODQwOGRkN2NhOWI2NDd8MTU2MmYwMDcwOWE0NGZjYjkzNmJlNzkyNDY1NzFmYzd8MHwwfDYzODgwMzc5MDUzNTQ2NjU2NXxVbmtub3dufFRXRnBiR1pzYjNkOGV5SkZiWEIwZVUxaGNHa2lPblJ5ZFdVc0lsWWlPaUl3TGpBdU1EQXdNQ0lzSWxBaU9pSlhhVzR6TWlJc0lrRk9Jam9pVFdGcGJDSXNJbGRVSWpveWZRPT18MHx8fA%3d%3d&amp;sdata=NDNBOXpmQlpaYnFhTktmUnIyRTNzMll4TUpaY3JXTWxhaXQvRndGbHo3TT0%3d" TargetMode="External"/><Relationship Id="rId37" Type="http://schemas.openxmlformats.org/officeDocument/2006/relationships/hyperlink" Target="../../../../../../:w:/r/sites/Global%20Server%20And%20Platform%20Operations/siops/Shared%20Documents/3%20-%20PROJECTS/S4%20HANA%20General%20docs/Hana%20System%20build%20docs/SMD%20Agent%20Installtion.docx?d=w4dca86b74fcc4dc1bccaac3d1bc18c95&amp;csf=1&amp;web=1&amp;e=JoRUaw" TargetMode="External"/><Relationship Id="rId53" Type="http://schemas.openxmlformats.org/officeDocument/2006/relationships/hyperlink" Target="../../../../../../:w:/r/sites/Global%20Server%20And%20Platform%20Operations/siops/Shared%20Documents/2%20-%20OPERATIONS/Tablespace%20analysis/Table%20Space_Analysis.docx?d=w6f633b6f6aac40388d1e29f88542a44d&amp;csf=1&amp;web=1&amp;e=cjbHp1" TargetMode="External"/><Relationship Id="rId58" Type="http://schemas.openxmlformats.org/officeDocument/2006/relationships/hyperlink" Target="../../../../../../../../../../../../../:w:/r/sites/Global%20Server%20And%20Platform%20Operations/siops/Shared%20Documents/4%20-%20DOCUMENTATION/SOP/SOP%20HANA%20DB%20admin%20users.docx?d=w3218c92dfd6940058221064ec54389af&amp;csf=1&amp;web=1&amp;e=PRtxNH" TargetMode="External"/><Relationship Id="rId74" Type="http://schemas.openxmlformats.org/officeDocument/2006/relationships/hyperlink" Target="../../../../../../:w:/r/sites/Global%20Server%20And%20Platform%20Operations/siops/Shared%20Documents/3%20-%20PROJECTS/S4%20HANA%20General%20docs/Hana%20System%20build%20docs/DBACockpit_connection_systemdb.docx?d=w9439ec502a2741c8adbe74a614f67743&amp;csf=1&amp;web=1&amp;e=4Ibfdg" TargetMode="External"/><Relationship Id="rId79" Type="http://schemas.openxmlformats.org/officeDocument/2006/relationships/hyperlink" Target="../../../../../../:w:/r/sites/Global%20Server%20And%20Platform%20Operations/siops/Shared%20Documents/3%20-%20PROJECTS/S4%20HANA%20General%20docs/Hana%20System%20build%20docs/How%20to%20manage%20SAP%20standard%20templates.docx?d=wce1d1aff13574a118cda3cb0a354ced8&amp;csf=1&amp;web=1&amp;e=6gDtzz" TargetMode="External"/><Relationship Id="rId5" Type="http://schemas.openxmlformats.org/officeDocument/2006/relationships/hyperlink" Target="../../../../../../../../../../../../../:p:/r/sites/Global%20Server%20And%20Platform%20Operations/siops/Shared%20Documents/4%20-%20DOCUMENTATION/Procedure/Linde%20SAP%20BASIS%20Security%20Guidelines%20GSPO%20Basis.pptx?d=w2e5a3ba360324e848d975fb5cec90746&amp;csf=1&amp;web=1&amp;e=GV1vwn" TargetMode="External"/><Relationship Id="rId90" Type="http://schemas.openxmlformats.org/officeDocument/2006/relationships/hyperlink" Target="../../2%20-%20OPERATIONS/AnsibleReports/LSPO%20AutomationInventory.xlsx" TargetMode="External"/><Relationship Id="rId22" Type="http://schemas.openxmlformats.org/officeDocument/2006/relationships/hyperlink" Target="../../../../../../../../../../../../../:w:/r/sites/Global%20Server%20And%20Platform%20Operations/siops/Shared%20Documents/3%20-%20PROJECTS/Malaga/Supporting%20Documents/Mass%20job%20change.docx?d=w8227198820724f09b09a3e9cea0e65a5&amp;csf=1&amp;web=1&amp;e=LqV9kY" TargetMode="External"/><Relationship Id="rId27" Type="http://schemas.openxmlformats.org/officeDocument/2006/relationships/hyperlink" Target="../../../../../../:w:/r/sites/Global%20Server%20And%20Platform%20Operations/siops/Shared%20Documents/2%20-%20OPERATIONS/Cloud%20Connector/Utsha_Cloud/Linux%20Cloud%20connector%20Document.docx?d=w1d16e506d773424c8d619efda61ff15c&amp;csf=1&amp;web=1&amp;e=zhFvPg" TargetMode="External"/><Relationship Id="rId43" Type="http://schemas.openxmlformats.org/officeDocument/2006/relationships/hyperlink" Target="../../../../../../:p:/r/sites/Global%20Server%20And%20Platform%20Operations/siops/Shared%20Documents/4%20-%20DOCUMENTATION/documents/FCI_vFaaS_to_pFaaS_Migration/TSI_vFaaS_pFaaS.pptx?d=w2b12622fb0ac467a9184e44c7bb1034d&amp;csf=1&amp;web=1&amp;e=PHKcC7" TargetMode="External"/><Relationship Id="rId48" Type="http://schemas.openxmlformats.org/officeDocument/2006/relationships/hyperlink" Target="../../../../../../:w:/r/sites/Global%20Server%20And%20Platform%20Operations/siops/Shared%20Documents/4%20-%20DOCUMENTATION/Procedure/SOP%20Inc_Pro_Ser_Cha%20Operation%20Handling%20Process.docx?d=wcebbe173c1d44f9ab399f80b3e9529a4&amp;csf=1&amp;web=1&amp;e=HHgMe7" TargetMode="External"/><Relationship Id="rId64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Roles%20Definition%20SOP/LO_TO_Responsibility_v1.0.docx?d=w6de3220cbec54dc1a3f6280fda1b702f&amp;csf=1&amp;web=1&amp;e=R9xDYZ" TargetMode="External"/><Relationship Id="rId69" Type="http://schemas.openxmlformats.org/officeDocument/2006/relationships/hyperlink" Target="../../../../../../:w:/r/sites/Global%20Server%20And%20Platform%20Operations/siops/Shared%20Documents/3%20-%20PROJECTS/S4%20HANA%20General%20docs/Hana%20System%20build%20docs/checklists/Hana%20Post%20Installation%20checks.docx?d=w2016fbd1a6074e9c8f370c15356053a8&amp;csf=1&amp;web=1&amp;e=c8XTPm" TargetMode="External"/><Relationship Id="rId8" Type="http://schemas.openxmlformats.org/officeDocument/2006/relationships/hyperlink" Target="../../../../../../../../../../../../../:w:/r/sites/Global%20Server%20And%20Platform%20Operations/siops/Shared%20Documents/2%20-%20OPERATIONS/ASE/ASE-SYSTEM_DB_SPACE-check/ASE%20Database%20space%20check.docx?d=we3e21bbbf60149569ee7f6cb5b857f36&amp;csf=1&amp;web=1&amp;e=YZI1HX" TargetMode="External"/><Relationship Id="rId51" Type="http://schemas.openxmlformats.org/officeDocument/2006/relationships/hyperlink" Target="../../../../../../../../../../../../../:w:/r/sites/Global%20Server%20And%20Platform%20Operations/siops/Shared%20Documents/1%20-%20ORG/GSPO%20Management%20Topics/Team%20transformation2024_25/TeamTransformation/SolutionDesign/ImplementingTechnicaldocuments/Document%20Format.docx?d=w8ec13ea3c0c7480986681f535d759634&amp;csf=1&amp;web=1&amp;e=xRbDUb" TargetMode="External"/><Relationship Id="rId72" Type="http://schemas.openxmlformats.org/officeDocument/2006/relationships/hyperlink" Target="../../../../../../:w:/r/sites/Global%20Server%20And%20Platform%20Operations/siops/Shared%20Documents/4%20-%20DOCUMENTATION/Procedure/myPAS/MyPAS%20SAP%20Basis%20password%20management.docx?d=w9108778cba6844c7ab31794f8748c628&amp;csf=1&amp;web=1&amp;e=jQuro7" TargetMode="External"/><Relationship Id="rId80" Type="http://schemas.openxmlformats.org/officeDocument/2006/relationships/hyperlink" Target="../../../../../../:w:/r/sites/Global%20Server%20And%20Platform%20Operations/siops/Shared%20Documents/3%20-%20PROJECTS/S4%20HANA%20General%20docs/Hana%20System%20build%20docs/How%20to%20update%20SAPLogon%20entries.docx?d=w566dd5589dff4b799f032e884ddd8899&amp;csf=1&amp;web=1&amp;e=uq62io" TargetMode="External"/><Relationship Id="rId85" Type="http://schemas.openxmlformats.org/officeDocument/2006/relationships/hyperlink" Target="../../../../../../:w:/r/sites/Global%20Server%20And%20Platform%20Operations/siops/Shared%20Documents/2%20-%20OPERATIONS/MyPass%20and%20MyID/Linux%20TSA%20user%20account%20creation.docx?d=w5165aa4078b841479e4a3ec1b16a0b0d&amp;csf=1&amp;web=1&amp;e=Qqrd0N" TargetMode="External"/><Relationship Id="rId93" Type="http://schemas.openxmlformats.org/officeDocument/2006/relationships/drawing" Target="../drawings/drawing1.xml"/><Relationship Id="rId3" Type="http://schemas.openxmlformats.org/officeDocument/2006/relationships/hyperlink" Target="../../../../../../../../../../../../../:w:/r/sites/Global%20Server%20And%20Platform%20Operations/siops/Shared%20Documents/3%20-%20PROJECTS/S4%20HANA%20RAF/S9A_S91%20%20TM0/Oracle_installation.docx?d=w0c0b98badfc3423d83f3fa9f5b86e4c3&amp;csf=1&amp;web=1&amp;e=m9PrVe" TargetMode="External"/><Relationship Id="rId12" Type="http://schemas.openxmlformats.org/officeDocument/2006/relationships/hyperlink" Target="../../../../../../../../../../../../../:w:/r/sites/Global%20Server%20And%20Platform%20Operations/siops/Shared%20Documents/2%20-%20OPERATIONS/ASE/ASE%20Automatic%20DB%20Expansion/Sybase%20ASE%20-%20Auto%20DB%20Expansion%20Config%20(NEW).docx?d=w2c1fac6e556d4df085394841ab10aed4&amp;csf=1&amp;web=1&amp;e=WoRUkv" TargetMode="External"/><Relationship Id="rId17" Type="http://schemas.openxmlformats.org/officeDocument/2006/relationships/hyperlink" Target="../../../../../../../../../../../../../:w:/r/sites/Global%20Server%20And%20Platform%20Operations/siops/Shared%20Documents/3%20-%20PROJECTS/BW4HANA%20upgrade/GPW/GPW_SPS_2022to2023_Upgrade.docx?d=w5b153870abf247df98b468b6a38e9db7&amp;csf=1&amp;web=1&amp;e=HxWrMe" TargetMode="External"/><Relationship Id="rId25" Type="http://schemas.openxmlformats.org/officeDocument/2006/relationships/hyperlink" Target="../../../../../../../../../../../../../:w:/r/sites/Global%20Server%20And%20Platform%20Operations/siops/Shared%20Documents/3%20-%20PROJECTS/S4%20HANA%20General%20docs/Hana%20System%20build%20docs/Configure%20SAP%20standard%20jobs%20via%20SJOBREPO.docx?d=wd5bcfa269af64e4c934d1e44554e8015&amp;csf=1&amp;web=1&amp;e=2RoAIy" TargetMode="External"/><Relationship Id="rId33" Type="http://schemas.openxmlformats.org/officeDocument/2006/relationships/hyperlink" Target="../../../../../../../../../../../../../:w:/r/sites/Global%20Server%20And%20Platform%20Operations/siops/Shared%20Documents/3%20-%20PROJECTS/IBP%20Add-on%20D1A%20and%20D03/Agent_installation_config_final.docx?d=wa8a473f8007e4963b92d9f12831ef8ba&amp;csf=1&amp;web=1&amp;e=TJ43dK" TargetMode="External"/><Relationship Id="rId38" Type="http://schemas.openxmlformats.org/officeDocument/2006/relationships/hyperlink" Target="../../../../../../../../../../../../../:w:/r/sites/Global%20Server%20And%20Platform%20Operations/siops/Shared%20Documents/2%20-%20OPERATIONS/ORACLE/System%20Refresh/Self%20System%20restore/QGE_Oracle_Restore_Recovery%203.docx?d=w31737fa9a434408da869934f29a00f9c&amp;csf=1&amp;web=1&amp;e=OVbYyn" TargetMode="External"/><Relationship Id="rId46" Type="http://schemas.openxmlformats.org/officeDocument/2006/relationships/hyperlink" Target="../../../../../../../../../../../../../:w:/r/sites/Global%20Server%20And%20Platform%20Operations/siops/Shared%20Documents/4%20-%20DOCUMENTATION/documents/S4%20HANA%20General%20docs/Hana%20System%20build%20docs/SWU3_activation.docx?d=w74ea4fc7f4cf406e9ab318c1c7c682eb&amp;csf=1&amp;web=1&amp;e=yNUHqP" TargetMode="External"/><Relationship Id="rId59" Type="http://schemas.openxmlformats.org/officeDocument/2006/relationships/hyperlink" Target="../../../SitePages/Home.aspx?RootFolder=%2Fsites%2FGlobal%20Server%20And%20Platform%20Operations%2Fsiops%2FShared%20Documents%2F2%20%2D%20OPERATIONS%2FLCM%2FSOP&amp;FolderCTID=0x01200018A5862A3FF541449B36D2B745FF1936&amp;View=%7B46B893C3%2D9DD8%2D4694%2DBB59%2DC7E968A09D76%7D" TargetMode="External"/><Relationship Id="rId67" Type="http://schemas.openxmlformats.org/officeDocument/2006/relationships/hyperlink" Target="../../../../../../:p:/r/sites/Global%20Server%20And%20Platform%20Operations/siops/Shared%20Documents/4%20-%20DOCUMENTATION/Procedure/Linde%20SAP%20BASIS%20Security%20Guidelines%20GSPO%20Basis.pptx?d=w2e5a3ba360324e848d975fb5cec90746&amp;csf=1&amp;web=1&amp;e=UJa4br" TargetMode="External"/><Relationship Id="rId20" Type="http://schemas.openxmlformats.org/officeDocument/2006/relationships/hyperlink" Target="../../../../../../../../../../../../../:w:/r/sites/Global%20Server%20And%20Platform%20Operations/siops/Shared%20Documents/2%20-%20OPERATIONS/TGE%20Client%20Refresh/Steps_for%20Client_Copy.docx?d=w6aa61a6f273945c79e0e4188e327b64e&amp;csf=1&amp;web=1&amp;e=fXPpWe" TargetMode="External"/><Relationship Id="rId41" Type="http://schemas.openxmlformats.org/officeDocument/2006/relationships/hyperlink" Target="../../../../../../../../../../../../../:w:/r/sites/Global%20Server%20And%20Platform%20Operations/siops/Shared%20Documents/3%20-%20PROJECTS/Solman%20activities/EWA%20configuration.docx?d=w87de3bcf872d489298a8b3b7ded4193c&amp;csf=1&amp;web=1&amp;e=2gR6eo" TargetMode="External"/><Relationship Id="rId54" Type="http://schemas.openxmlformats.org/officeDocument/2006/relationships/hyperlink" Target="../../../../../../../../../../../../../:w:/r/sites/Global%20Server%20And%20Platform%20Operations/siops/_layouts/15/Doc.aspx?sourcedoc=%7BB220328F-DB70-4B1A-BA6A-21BFAE5F9E4B%7D&amp;file=SLT_setup_DRG.docx&amp;action=default&amp;mobileredirect=true" TargetMode="External"/><Relationship Id="rId62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Escalation%20Guidelines/SOP_EscalationProcess_V1.0.docx?d=w05c27b383d1a497c91c3b3abbe990b6f&amp;csf=1&amp;web=1&amp;e=NtXg4i" TargetMode="External"/><Relationship Id="rId70" Type="http://schemas.openxmlformats.org/officeDocument/2006/relationships/hyperlink" Target="../../../../../../:w:/r/sites/Global%20Server%20And%20Platform%20Operations/soldes/Shared%20Documents/LCM/2026/SAP%20Global%20Technical%20Maintenance%20SOP.docx?d=w03ff08fa231d4fd390f2f94876374c28&amp;csf=1&amp;web=1&amp;e=4ZvVle" TargetMode="External"/><Relationship Id="rId75" Type="http://schemas.openxmlformats.org/officeDocument/2006/relationships/hyperlink" Target="../../../../../../:w:/r/sites/Global%20Server%20And%20Platform%20Operations/siops/Shared%20Documents/3%20-%20PROJECTS/S4%20HANA%20General%20docs/Hana%20System%20build%20docs/AFL_SAP_SETUP.docx?d=we1b9514f3add46fc8b48939d5d5d6e5d&amp;csf=1&amp;web=1&amp;e=g1vC82" TargetMode="External"/><Relationship Id="rId83" Type="http://schemas.openxmlformats.org/officeDocument/2006/relationships/hyperlink" Target="../../../../../../:w:/r/sites/Global%20Server%20And%20Platform%20Operations/soldes/Shared%20Documents/LCM/DEFAULT_CONFIG/SAP.Default.Configuration.docx?d=wfa29f3fa874d40f0ae1e1e111e8ab045&amp;csf=1&amp;web=1&amp;e=ShStgo" TargetMode="External"/><Relationship Id="rId88" Type="http://schemas.openxmlformats.org/officeDocument/2006/relationships/hyperlink" Target="../../../../../../:w:/r/sites/Global%20Server%20And%20Platform%20Operations/siops/Shared%20Documents/2%20-%20OPERATIONS/HANA/HANA-XSA/DTH_XSA-restoration.docx?d=w31ba1e81bce0479595429602ddd6cbdf&amp;csf=1&amp;web=1&amp;e=YjxZ3i" TargetMode="External"/><Relationship Id="rId91" Type="http://schemas.openxmlformats.org/officeDocument/2006/relationships/hyperlink" Target="../../../../../../:w:/r/sites/Global%20Server%20And%20Platform%20Operations/siops/_layouts/15/Doc.aspx?sourcedoc=%7b25C46018-2E70-468A-A36D-FDFACAE8F28F%7d&amp;file=XSA+Resource+Consumption+and+Sizing.docx&amp;action=default&amp;mobileredirect=true&amp;xsdata=MDV8MDJ8U2FudG9zaC5LdW1hckBsaW5kZS5jb218YzNkYmRhMTQyZjU5NDcyOThiMDAwOGRlZjJiNmU5NzF8MTU2MmYwMDcwOWE0NGZjYjkzNmJlNzkyNDY1NzFmYzd8MHwwfDYzOTIxNTA2NDU3NDgyOTc2NXxVbmtub3dufFRXRnBiR1pzYjNkOGV5SkZiWEIwZVUxaGNHa2lPblJ5ZFdVc0lsWWlPaUl3TGpBdU1EQXdNQ0lzSWxBaU9pSlhhVzR6TWlJc0lrRk9Jam9pVFdGcGJDSXNJbGRVSWpveWZRPT18MHx8fA%3d%3d&amp;sdata=SGo2WWdoZ2FEWXgwdnhUVWVHWndlY0NvMWduRy9WcGQ1Y1QwWG01cnQ2RT0%3d" TargetMode="External"/><Relationship Id="rId1" Type="http://schemas.openxmlformats.org/officeDocument/2006/relationships/hyperlink" Target="../../../../../../../../../../../../../:x:/r/sites/Global%20Server%20And%20Platform%20Operations/siops/Shared%20Documents/2%20-%20OPERATIONS/System%20Refresh/Refresh%20Document%20Template/Runbook_SID_Refresh-TEMPLATE.xlsx?d=w527dbf15d8a945eea86d303425a75782&amp;csf=1&amp;web=1&amp;e=C99Psv" TargetMode="External"/><Relationship Id="rId6" Type="http://schemas.openxmlformats.org/officeDocument/2006/relationships/hyperlink" Target="../../../../../../../../../../../../../:w:/r/sites/Global%20Server%20And%20Platform%20Operations/siops/Shared%20Documents/4%20-%20DOCUMENTATION/documents/DB13%20Configuration.docx?d=w372155f4243b4659b64fa87101b41303&amp;csf=1&amp;web=1&amp;e=1Dl4hO" TargetMode="External"/><Relationship Id="rId15" Type="http://schemas.openxmlformats.org/officeDocument/2006/relationships/hyperlink" Target="../../../../../../../../../../../../../:w:/r/sites/Global%20Server%20And%20Platform%20Operations/siops/Shared%20Documents/3%20-%20PROJECTS/Azure%20Cloud/Cloud-Azure/Migration/Netweaver%207.5%20-%20Azure.docx?d=w8e0d0b039fdb42caa60507866c985a04&amp;csf=1&amp;web=1&amp;e=ej5LUx" TargetMode="External"/><Relationship Id="rId23" Type="http://schemas.openxmlformats.org/officeDocument/2006/relationships/hyperlink" Target="../../../../../../../../../../../../../:w:/r/sites/Global%20Server%20And%20Platform%20Operations/siops/Shared%20Documents/3%20-%20PROJECTS/GTS%20S4%20Conversion/QGG/HANA%20installation%20and%20GTS%20e4H%20Migration%20for%20QGG.docx?d=wfe6f0d07a52340158790722923e999ad&amp;csf=1&amp;web=1&amp;e=BP8cQr" TargetMode="External"/><Relationship Id="rId28" Type="http://schemas.openxmlformats.org/officeDocument/2006/relationships/hyperlink" Target="../../../../../../../../../../../../../:w:/r/sites/Global%20Server%20And%20Platform%20Operations/siops/Shared%20Documents/2%20-%20OPERATIONS/HANA/HANA%20Issue/ODBC_setup.docx?d=web2442dd692b4f4a87221e6e39a2bcc2&amp;csf=1&amp;web=1&amp;e=M0MBJZ" TargetMode="External"/><Relationship Id="rId36" Type="http://schemas.openxmlformats.org/officeDocument/2006/relationships/hyperlink" Target="../../../../../../../../../../../../../:w:/r/sites/Global%20Server%20And%20Platform%20Operations/siops/Shared%20Documents/3%20-%20PROJECTS/S4%20HANA%20RAF/How_to_docu/Saprouter%20configuration.docx?d=w2c04d93f499f4f1195baf99ebbba32c2&amp;csf=1&amp;web=1&amp;e=oiaMug" TargetMode="External"/><Relationship Id="rId49" Type="http://schemas.openxmlformats.org/officeDocument/2006/relationships/hyperlink" Target="../../../../../../../../../../../../../:w:/r/sites/Global%20Server%20And%20Platform%20Operations/siops/Shared%20Documents/2%20-%20OPERATIONS/vncserver/Configtool_VNC_procoess.docx?d=w4dba88472f9d41ed90a738af09d2f97b&amp;csf=1&amp;web=1&amp;e=KjYDYq" TargetMode="External"/><Relationship Id="rId57" Type="http://schemas.openxmlformats.org/officeDocument/2006/relationships/hyperlink" Target="../../../../../../../../../../../../../:w:/r/sites/Global%20Server%20And%20Platform%20Operations/siops/_layouts/15/Doc.aspx?sourcedoc=%7BBE5CD618-E7AF-4BB5-9D27-EFE45AE0FA15%7D&amp;file=Hana_Parameter_check.docx&amp;action=default&amp;mobileredirect=true&amp;ovuser=1562f007-09a4-4fcb-936b-e79246571fc7%2Cin10f5%40linde.com&amp;clickparams=eyJBcHBOYW1lIjoiVGVhbXMtRGVza3RvcCIsIkFwcFZlcnNpb24iOiI0OS8yNTAzMTMyMTAxNCIsIkhhc0ZlZGVyYXRlZFVzZXIiOmZhbHNlfQ%3D%3D" TargetMode="External"/><Relationship Id="rId10" Type="http://schemas.openxmlformats.org/officeDocument/2006/relationships/hyperlink" Target="../../../../../../../../../../../../../:x:/r/sites/Global%20Server%20And%20Platform%20Operations/siops/Shared%20Documents/2%20-%20OPERATIONS/System%20Monitoring/New%20Monitoring%20template/Oracle/ECC_Oracle_Basic_monitoring_check_v2.xlsx?d=wa8ab1bb4ee424d728ee1dea2998ba73c&amp;csf=1&amp;web=1&amp;e=ZgxMiJ" TargetMode="External"/><Relationship Id="rId31" Type="http://schemas.openxmlformats.org/officeDocument/2006/relationships/hyperlink" Target="../../../../../../../../../../../../../:w:/r/sites/Global%20Server%20And%20Platform%20Operations/siops/Shared%20Documents/2%20-%20OPERATIONS/System%20Refresh/Refresh%20Document%20Template/SOAMANAGE%20FIX.docx?d=we416566d2f5c4068ac6c285db32903b1&amp;csf=1&amp;web=1&amp;e=PzzF6Q" TargetMode="External"/><Relationship Id="rId44" Type="http://schemas.openxmlformats.org/officeDocument/2006/relationships/hyperlink" Target="../../../SitePages/Home.aspx?RootFolder=%2Fsites%2FGlobal%20Server%20And%20Platform%20Operations%2Fsiops%2FShared%20Documents%2F3%20%2D%20PROJECTS%2FNetapp%20Migration&amp;FolderCTID=0x01200018A5862A3FF541449B36D2B745FF1936&amp;View=%7B46B893C3%2D9DD8%2D4694%2DBB59%2DC7E968A09D76%7D" TargetMode="External"/><Relationship Id="rId52" Type="http://schemas.openxmlformats.org/officeDocument/2006/relationships/hyperlink" Target="../../../../../../../../../../../../../:w:/r/sites/Global%20Server%20And%20Platform%20Operations/siops/Shared%20Documents/2%20-%20OPERATIONS/St06.docx_final_version.docx?d=w751c6b5dbc0240bda5e15d0e8a306fb3&amp;csf=1&amp;web=1&amp;e=92CXTa" TargetMode="External"/><Relationship Id="rId60" Type="http://schemas.openxmlformats.org/officeDocument/2006/relationships/hyperlink" Target="../../../../../../../../../../../../../:w:/r/sites/Global%20Server%20And%20Platform%20Operations/siops/Shared%20Documents/4%20-%20DOCUMENTATION/Procedure/SOP%20Inc_Pro_Ser_Cha%20Operation%20Handling%20Process%20V4.1.docx?d=wcebbe173c1d44f9ab399f80b3e9529a4&amp;csf=1&amp;web=1&amp;e=yGFOAW" TargetMode="External"/><Relationship Id="rId65" Type="http://schemas.openxmlformats.org/officeDocument/2006/relationships/hyperlink" Target="../../../SitePages/Home.aspx?RootFolder=%2fsites%2fGlobal+Server+And+Platform+Operations%2fsiops%2fShared+Documents%2f4+-+DOCUMENTATION%2fProcedure%2fDisaster+Recovery%2fFCI+HANA&amp;FolderCTID=0x01200018A5862A3FF541449B36D2B745FF1936&amp;View=%7b46B893C3-9DD8-4694-BB59-C7E968A09D76%7d&amp;xsdata=MDV8MDJ8fGYzNmI2YjRlODk4YzQ5ZGZjNGY0MDhkZGIzOWRjZWZhfDE1NjJmMDA3MDlhNDRmY2I5MzZiZTc5MjQ2NTcxZmM3fDB8MHw2Mzg4NjQyMTI1MjAyNTY3NTZ8VW5rbm93bnxWR1ZoYlhOVFpXTjFjbWwwZVZObGNuWnBZMlY4ZXlKRFFTSTZJbFJsWVcxelgwRlVVRk5sY25acFkyVmZVMUJQVEU5R0lpd2lWaUk2SWpBdU1DNHdNREF3SWl3aVVDSTZJbGRwYmpNeUlpd2lRVTRpT2lKUGRHaGxjaUlzSWxkVUlqb3hNWDA9fDF8TDJOb1lYUnpMekU1T2pOaE16WTROR0k1TFRKbVpESXRORGRoTVMxaVkyVmtMVFZoT0RNM01qZzNZamsyWkY5aU5XWXpaVGxqTXkwMU1EZzJMVFE0WWpFdE9HUmtOeTA0WlRFeE4yRTNOMkU0TW1OQWRXNXhMbWRpYkM1emNHRmpaWE12YldWemMyRm5aWE12TVRjMU1EZ3lORFExTVRjeU9RPT18NjYxMzIyZmJkNDIxNDE0YWM0ZjQwOGRkYjM5ZGNlZmF8Mzk0ZDc5ZTQ2N2M2NGRiY2FkNjkyZTRhMDM4OTAzNzU%3d&amp;sdata=RzhmcUpiTGNkLyt3TlQwTUtqaTRLSUdSNjU3VXdNejkxcHZMR3hjdnBrbz0%3d&amp;ovuser=1562f007-09a4-4fcb-936b-e79246571fc7%2cin08f9%40linde.com&amp;OR=Teams-HL&amp;CT=1750824468130&amp;clickparams=eyJBcHBOYW1lIjoiVGVhbXMtRGVza3RvcCIsIkFwcFZlcnNpb24iOiI0OS8yNTA2MDIwNjYxNCIsIkhhc0ZlZGVyYXRlZFVzZXIiOmZhbHNlfQ%3d%3d&amp;SafelinksUrl=https%3a%2f%2flindegroup.sharepoint.com%2fsites%2fGlobal%2520Server%2520And%2520Platform%2520Operations%2fsiops%2fSitePages%2fHome.aspx" TargetMode="External"/><Relationship Id="rId73" Type="http://schemas.openxmlformats.org/officeDocument/2006/relationships/hyperlink" Target="../../../../../../:w:/r/sites/Global%20Server%20And%20Platform%20Operations/siops/Shared%20Documents/3%20-%20PROJECTS/S4%20HANA%20General%20docs/Hana%20System%20build%20docs/Interface%20setup%20doc/BTP_FIORI/FIORI_BTP%20seutp.docx?d=w2df896d16c1e43cd957f35ad4b91dce9&amp;csf=1&amp;web=1&amp;e=wvcGdH" TargetMode="External"/><Relationship Id="rId78" Type="http://schemas.openxmlformats.org/officeDocument/2006/relationships/hyperlink" Target="../../../../../../:w:/r/sites/Global%20Server%20And%20Platform%20Operations/siops/Shared%20Documents/3%20-%20PROJECTS/S4%20HANA%20General%20docs/Hana%20System%20build%20docs/scripting%20parameter.docx?d=w66f3c202b8304c50ac3941fa79050ed0&amp;csf=1&amp;web=1&amp;e=19f0P8" TargetMode="External"/><Relationship Id="rId81" Type="http://schemas.openxmlformats.org/officeDocument/2006/relationships/hyperlink" Target="../../../../../../:w:/r/sites/Global%20Server%20And%20Platform%20Operations/siops/Shared%20Documents/4%20-%20DOCUMENTATION/documents/How%20to%20update%20SAPUILandscape%20file%20with%20new%20SID.docx?d=w13c694168cc4485998fc736e7f1ae0ec&amp;csf=1&amp;web=1&amp;e=cY4DhP" TargetMode="External"/><Relationship Id="rId86" Type="http://schemas.openxmlformats.org/officeDocument/2006/relationships/hyperlink" Target="../../../../../../:w:/r/sites/Global%20Server%20And%20Platform%20Operations/siops/Shared%20Documents/2%20-%20OPERATIONS/MyPass%20and%20MyID/MYID%20PAA_Secondary%20Account%20creation.docx?d=w4e64538ae95a4391a444b8f74b595613&amp;csf=1&amp;web=1&amp;e=l69zDw" TargetMode="External"/><Relationship Id="rId4" Type="http://schemas.openxmlformats.org/officeDocument/2006/relationships/hyperlink" Target="../../../../../../../../../../../../../:w:/r/sites/Global%20Server%20And%20Platform%20Operations/siops/Shared%20Documents/3%20-%20PROJECTS/S4%20HANA%20General%20docs/Hana%20System%20build%20docs/S4%20HANA%20system%20Installation%20document%20for%20S4%20Project%20sytems.docx?d=w059aa74847b34c2fa4fde7480978cfb9&amp;csf=1&amp;web=1&amp;e=qcqVdA" TargetMode="External"/><Relationship Id="rId9" Type="http://schemas.openxmlformats.org/officeDocument/2006/relationships/hyperlink" Target="../../../../../../:w:/r/sites/Global%20Server%20And%20Platform%20Operations/siops/Shared%20Documents/2%20-%20OPERATIONS/Linde%20SNC_SSO_implementation.docx?d=w6fd46b25a6cd4b45851a1fa1c98560b9&amp;csf=1&amp;web=1&amp;e=MxjBBo" TargetMode="External"/><Relationship Id="rId13" Type="http://schemas.openxmlformats.org/officeDocument/2006/relationships/hyperlink" Target="../../../../../../../../../../../../../:x:/r/sites/Global%20Server%20And%20Platform%20Operations/siops/Shared%20Documents/2%20-%20OPERATIONS/System%20Monitoring/Daily%20Manual%20Monitoring%20Template/ASE_Basic_monitoring_check_1.1.xlsx?d=wcc50b6bcf2664b95b61394c291957071&amp;csf=1&amp;web=1&amp;e=ZUNK7k" TargetMode="External"/><Relationship Id="rId18" Type="http://schemas.openxmlformats.org/officeDocument/2006/relationships/hyperlink" Target="../../../../../../../../../../../../../:w:/r/sites/Global%20Server%20And%20Platform%20Operations/siops/Shared%20Documents/3%20-%20PROJECTS/Oracle19c-Upgrade/Oracle_19C.docx?d=w32a29977472645198911e4ff5a4d3738&amp;csf=1&amp;web=1&amp;e=I4KWqt" TargetMode="External"/><Relationship Id="rId39" Type="http://schemas.openxmlformats.org/officeDocument/2006/relationships/hyperlink" Target="../../../../../../../../../../../../../:x:/r/sites/Global%20Server%20And%20Platform%20Operations/siops/Shared%20Documents/5%20-%20OPS%20REPORTS/pacadm/pacadm.xlsb?d=w8d28936e8721414bb2b6e27b74dfbf5b&amp;csf=1&amp;web=1&amp;e=dRDgvm" TargetMode="External"/><Relationship Id="rId34" Type="http://schemas.openxmlformats.org/officeDocument/2006/relationships/hyperlink" Target="../../../../../../../../../../../../../:w:/r/sites/Global%20Server%20And%20Platform%20Operations/siops/Shared%20Documents/4%20-%20DOCUMENTATION/Procedure/Provisioning/PROCESS%20FOR%20NEW%20SERVER%20PROVISIONING%202025.docx?d=wa0525f08886747ad80a5817f5adc24ac&amp;csf=1&amp;web=1&amp;e=IlJ8vt&amp;xsdata=MDV8MDJ8U2FudG9zaC5LdW1hckBsaW5kZS5jb218OTQ4ZTcwNmFkZjM3NDc2OGZhYjQwOGRkN2NjYzE3M2J8MTU2MmYwMDcwOWE0NGZjYjkzNmJlNzkyNDY1NzFmYzd8MHwwfDYzODgwMzkzODE4MjExNTk1MnxVbmtub3dufFRXRnBiR1pzYjNkOGV5SkZiWEIwZVUxaGNHa2lPblJ5ZFdVc0lsWWlPaUl3TGpBdU1EQXdNQ0lzSWxBaU9pSlhhVzR6TWlJc0lrRk9Jam9pVFdGcGJDSXNJbGRVSWpveWZRPT18MHx8fA%3d%3d&amp;sdata=SlRIWGo3VDl4OFJyWXlTcmNkWll4RFdYbFZxV1RnYjBsbTY3cGlWVFZQQT0%3d" TargetMode="External"/><Relationship Id="rId50" Type="http://schemas.openxmlformats.org/officeDocument/2006/relationships/hyperlink" Target="../../Forms/WIDE.aspx?id=%2Fsites%2FGlobal%20Server%20And%20Platform%20Operations%2Fsiops%2FShared%20Documents%2F2%20%2D%20OPERATIONS%2FLCM%2FLCM%20Enhanced%20Implementation%20Process%20Documents&amp;sortField=Modified&amp;isAscending=false&amp;viewid=40aeaa2c%2D7416%2D41e4%2Da50b%2Daa3d2f3d4c5f&amp;FolderCTID=0x01200018A5862A3FF541449B36D2B745FF1936" TargetMode="External"/><Relationship Id="rId55" Type="http://schemas.openxmlformats.org/officeDocument/2006/relationships/hyperlink" Target="../../Forms/AllItems.aspx?id=%2Fsites%2FGlobal%20Server%20And%20Platform%20Operations%2Fsiops%2FShared%20Documents%2F3%20%2D%20PROJECTS%2FNetapp%20Migration%2F02%20Development%20Phase%2FHana%20Stream%2FRestore%20and%20Recovery&amp;viewid=40aeaa2c%2D7416%2D41e4%2Da50b%2Daa3d2f3d4c5f" TargetMode="External"/><Relationship Id="rId76" Type="http://schemas.openxmlformats.org/officeDocument/2006/relationships/hyperlink" Target="../../../../../../:w:/r/sites/Global%20Server%20And%20Platform%20Operations/siops/Shared%20Documents/3%20-%20PROJECTS/S4%20HANA%20General%20docs/Hana%20System%20build%20docs/STRUST%20and%20License%20.docx?d=w4c9729191b44415490f57800f894ef53&amp;csf=1&amp;web=1&amp;e=t0yld9" TargetMode="External"/><Relationship Id="rId7" Type="http://schemas.openxmlformats.org/officeDocument/2006/relationships/hyperlink" Target="../../../../../../../../../../../../../:w:/r/sites/Global%20Server%20And%20Platform%20Operations/siops/Shared%20Documents/3%20-%20PROJECTS/S4%20HANA%20RAF/D9A/SUM_%2010.docx?d=wb60b3c40d09a45f18753d44d7429f373&amp;csf=1&amp;web=1&amp;e=UDtacS" TargetMode="External"/><Relationship Id="rId71" Type="http://schemas.openxmlformats.org/officeDocument/2006/relationships/hyperlink" Target="../../../../../../:w:/r/sites/Global%20Server%20And%20Platform%20Operations/siops/Shared%20Documents/2%20-%20OPERATIONS/LCM/2026/Wave-1/SOP/SCC4_SE06_Checks.docx?d=wa115ac7598c8484eaafc610352405c02&amp;csf=1&amp;web=1&amp;e=JJ7fbY" TargetMode="External"/><Relationship Id="rId92" Type="http://schemas.openxmlformats.org/officeDocument/2006/relationships/printerSettings" Target="../printerSettings/printerSettings2.bin"/><Relationship Id="rId2" Type="http://schemas.openxmlformats.org/officeDocument/2006/relationships/hyperlink" Target="../../../../../../../../../../../../../:w:/r/sites/Global%20Server%20And%20Platform%20Operations/siops/Shared%20Documents/4%20-%20DOCUMENTATION/Procedure/DecomissionProcedure.docx?d=w4b2b6e4d13994411bbcf645c5bb05592&amp;csf=1&amp;web=1&amp;e=oq8OVg" TargetMode="External"/><Relationship Id="rId29" Type="http://schemas.openxmlformats.org/officeDocument/2006/relationships/hyperlink" Target="../../../../../../../../../../../../../:w:/r/sites/Global%20Server%20And%20Platform%20Operations/siops/Shared%20Documents/2%20-%20OPERATIONS/LCM/2023/Wave-1/SOP/Hana_LCM/MAI%20pause.docx?d=w342f05f7abfe4c88878d01de6c3b6a8f&amp;csf=1&amp;web=1&amp;e=4I51Ri" TargetMode="External"/><Relationship Id="rId24" Type="http://schemas.openxmlformats.org/officeDocument/2006/relationships/hyperlink" Target="../../../../../../../../../../../../../:w:/r/sites/Global%20Server%20And%20Platform%20Operations/siops/Shared%20Documents/3%20-%20PROJECTS/S4%20HANA%20General%20docs/Ariba%20Basis%20Tasks.docx?d=we31d9fb5f44a419b870fa97128c2486c&amp;csf=1&amp;web=1&amp;e=rMzS4v" TargetMode="External"/><Relationship Id="rId40" Type="http://schemas.openxmlformats.org/officeDocument/2006/relationships/hyperlink" Target="../../../../../../../../../../../../../:l:/r/sites/Global%20Server%20And%20Platform%20Operations/siops/Lists/SAP%20SID%20List?e=gPgCb8" TargetMode="External"/><Relationship Id="rId45" Type="http://schemas.openxmlformats.org/officeDocument/2006/relationships/hyperlink" Target="../../../../../../../../../../../../../:w:/r/sites/Global%20Server%20And%20Platform%20Operations/siops/Shared%20Documents/3%20-%20PROJECTS/Solman%20activities/Solman%20SP10%20upgrade/Solman%20upgrade.docx?d=weffb7f2f220c4d948e922b5577e616f2&amp;csf=1&amp;web=1&amp;e=FaRNA6" TargetMode="External"/><Relationship Id="rId66" Type="http://schemas.openxmlformats.org/officeDocument/2006/relationships/hyperlink" Target="../../../../../../:p:/r/sites/Global%20Server%20And%20Platform%20Operations/siops/Shared%20Documents/4%20-%20DOCUMENTATION/Procedure/Linde%20SAP%20BASIS%20Operations%20Do%27s%20%26%20Don%27t.pptx?d=w65550fa9d7ed4c2b83a4c4a6155baf38&amp;csf=1&amp;web=1&amp;e=13rHb2" TargetMode="External"/><Relationship Id="rId87" Type="http://schemas.openxmlformats.org/officeDocument/2006/relationships/hyperlink" Target="../../../../../../:w:/r/sites/Global%20Server%20And%20Platform%20Operations/siops/Shared%20Documents/2%20-%20OPERATIONS/LCM/SOP/Create%20Maintenance%20File%20to%20prevent%20automatic%20start%20by%20Ansible.docx?d=w48689aeb78814ebda87532f8ebd11147&amp;csf=1&amp;web=1&amp;e=qAwr3m" TargetMode="External"/><Relationship Id="rId61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Communication%20Guidelines/Communication_BestPractice_V1.0.docx?d=w74c2828c6fb44f08b28dada92198dde7&amp;csf=1&amp;web=1&amp;e=NgQiMP" TargetMode="External"/><Relationship Id="rId82" Type="http://schemas.openxmlformats.org/officeDocument/2006/relationships/hyperlink" Target="../../../../../../:w:/r/sites/Global%20Server%20And%20Platform%20Operations/siops/Shared%20Documents/2%20-%20OPERATIONS/HANA%20Hardening/HANA%20SSL%20final%20documents/HANA%20DB%20Security%20HardeningV3.0_final.docx?d=wf1d8de863c4947d596f537c434e847ad&amp;csf=1&amp;web=1&amp;e=m90hlo" TargetMode="External"/><Relationship Id="rId19" Type="http://schemas.openxmlformats.org/officeDocument/2006/relationships/hyperlink" Target="../../../../../../../../../../../../../:w:/r/sites/Global%20Server%20And%20Platform%20Operations/siops/Shared%20Documents/2%20-%20OPERATIONS/Web%20Dispatcher/Add%20SID%20to%20Webdispatcher.docx?d=w7f6cfea9088f4dd783bfbef080921457&amp;csf=1&amp;web=1&amp;e=Pajj0a" TargetMode="External"/><Relationship Id="rId14" Type="http://schemas.openxmlformats.org/officeDocument/2006/relationships/hyperlink" Target="../../../../../../../../../../../../../:w:/r/sites/Global%20Server%20And%20Platform%20Operations/siops/Shared%20Documents/3%20-%20PROJECTS/Portal/ADS/ADS_Configuration_in_NW7.5.docx?d=w141d1fa74e80420399732d618552fa63&amp;csf=1&amp;web=1&amp;e=CQsInO" TargetMode="External"/><Relationship Id="rId30" Type="http://schemas.openxmlformats.org/officeDocument/2006/relationships/hyperlink" Target="../../../../../../../../../../../../../:w:/r/sites/Global%20Server%20And%20Platform%20Operations/siops/Shared%20Documents/2%20-%20OPERATIONS/ASE/Issue%20Capture%20%26%20Findings/ASE_Issues/JS_Agent_error_sapsa_locked.docx?d=w3709e6bc7d3b4e84bb14302ec9bbaf7d&amp;csf=1&amp;web=1&amp;e=17MorD" TargetMode="External"/><Relationship Id="rId35" Type="http://schemas.openxmlformats.org/officeDocument/2006/relationships/hyperlink" Target="../../../../../../../../../../../../../:p:/r/sites/Global%20Server%20And%20Platform%20Operations/siops/Shared%20Documents/2%20-%20OPERATIONS/HANA/HANA%20Issue/hdbconnectivity%20issue.pptm?d=wc0c099a21d52444f964ec116337bd685&amp;csf=1&amp;web=1&amp;e=lUXgOj" TargetMode="External"/><Relationship Id="rId56" Type="http://schemas.openxmlformats.org/officeDocument/2006/relationships/hyperlink" Target="../../../../../../:w:/r/sites/Global%20Server%20And%20Platform%20Operations/siops/Shared%20Documents/3%20-%20PROJECTS/Hana_SPS_ugrade.docx?d=w327f569d1d3644e6bec55c3604dd8b6a&amp;csf=1&amp;web=1&amp;e=Xbycd2" TargetMode="External"/><Relationship Id="rId77" Type="http://schemas.openxmlformats.org/officeDocument/2006/relationships/hyperlink" Target="../../../../../../:w:/r/sites/Global%20Server%20And%20Platform%20Operations/siops/Shared%20Documents/3%20-%20PROJECTS/S4%20HANA%20General%20docs/Hana%20System%20build%20docs/SCC4%20settings.docx?d=w0ba60b5d7bf64fce8db6c79954439567&amp;csf=1&amp;web=1&amp;e=S05e1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../:w:/r/sites/Global%20Server%20And%20Platform%20Operations/siops/Shared%20Documents/2%20-%20OPERATIONS/LCM/SOP/Sybase%20ASE%20Patch%20Upgrade%202024%20Wave%201.docx?d=w72fb2adb07c7464ab228f71ed49ae3c7&amp;csf=1&amp;web=1&amp;e=lzwfER" TargetMode="External"/><Relationship Id="rId21" Type="http://schemas.openxmlformats.org/officeDocument/2006/relationships/hyperlink" Target="../../../../../../../../../../../../../:w:/r/sites/Global%20Server%20And%20Platform%20Operations/siops/Shared%20Documents/2%20-%20OPERATIONS/REDO%20LOG%20configuration/Redo%20Log%20Configuration.docx?d=wed51b68ce99244a2b66bb2053968f7db&amp;csf=1&amp;web=1&amp;e=cEJX00" TargetMode="External"/><Relationship Id="rId42" Type="http://schemas.openxmlformats.org/officeDocument/2006/relationships/hyperlink" Target="../../../../../../../../../../../../../:w:/r/sites/Global%20Server%20And%20Platform%20Operations/siops/Shared%20Documents/3%20-%20PROJECTS/Solman%20activities/EWA%20configuration.docx?d=w87de3bcf872d489298a8b3b7ded4193c&amp;csf=1&amp;web=1&amp;e=2gR6eo" TargetMode="External"/><Relationship Id="rId47" Type="http://schemas.openxmlformats.org/officeDocument/2006/relationships/hyperlink" Target="../../../../../../../../../../../../../:w:/r/sites/Global%20Server%20And%20Platform%20Operations/siops/Shared%20Documents/4%20-%20DOCUMENTATION/documents/S4%20HANA%20General%20docs/Hana%20System%20build%20docs/SWU3_activation.docx?d=w74ea4fc7f4cf406e9ab318c1c7c682eb&amp;csf=1&amp;web=1&amp;e=yNUHqP" TargetMode="External"/><Relationship Id="rId63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Escalation%20Guidelines/SOP_EscalationProcess_V1.0.docx?d=w05c27b383d1a497c91c3b3abbe990b6f&amp;csf=1&amp;web=1&amp;e=NtXg4i" TargetMode="External"/><Relationship Id="rId68" Type="http://schemas.openxmlformats.org/officeDocument/2006/relationships/hyperlink" Target="../../../../../../:p:/r/sites/Global%20Server%20And%20Platform%20Operations/siops/Shared%20Documents/4%20-%20DOCUMENTATION/Procedure/Linde%20SAP%20BASIS%20Security%20Guidelines%20GSPO%20Basis.pptx?d=w2e5a3ba360324e848d975fb5cec90746&amp;csf=1&amp;web=1&amp;e=UJa4br" TargetMode="External"/><Relationship Id="rId84" Type="http://schemas.openxmlformats.org/officeDocument/2006/relationships/printerSettings" Target="../printerSettings/printerSettings3.bin"/><Relationship Id="rId16" Type="http://schemas.openxmlformats.org/officeDocument/2006/relationships/hyperlink" Target="../../../../../../../../../../../../../:w:/r/sites/Global%20Server%20And%20Platform%20Operations/siops/Shared%20Documents/2%20-%20OPERATIONS/Certificate%20Renewal%20Process/Linde%20Internal%20Certificate%20Renewal%20Process.docx?d=w8ba010f90e0944c4a5e33c553c298079&amp;csf=1&amp;web=1&amp;e=5KLNCZ" TargetMode="External"/><Relationship Id="rId11" Type="http://schemas.openxmlformats.org/officeDocument/2006/relationships/hyperlink" Target="../../../../../../../../../../../../../:x:/r/sites/Global%20Server%20And%20Platform%20Operations/siops/Shared%20Documents/2%20-%20OPERATIONS/System%20Monitoring/New%20Monitoring%20template/HANA/ECC_S4_Hana_Basic_monitoring_check_v2.xlsx?d=w174b7c0ae54a4460870f185b9b5380f6&amp;csf=1&amp;web=1&amp;e=HJvnyH" TargetMode="External"/><Relationship Id="rId32" Type="http://schemas.openxmlformats.org/officeDocument/2006/relationships/hyperlink" Target="../../../../../../../../../../../../../:w:/r/sites/Global%20Server%20And%20Platform%20Operations/siops/Shared%20Documents/4%20-%20DOCUMENTATION/Landscape/Knowledge%20Base/SPNEGO_ABAP_STACK_UPDATED.docx?d=w3cc80d471de94a35965dc00d0a002790&amp;csf=1&amp;web=1&amp;e=zIdz2W&amp;xsdata=MDV8MDJ8U2FudG9zaC5LdW1hckBsaW5kZS5jb218YThkNDM3YWEwYzIyNGFlZDk0ODQwOGRkN2NhOWI2NDd8MTU2MmYwMDcwOWE0NGZjYjkzNmJlNzkyNDY1NzFmYzd8MHwwfDYzODgwMzc5MDUzNTQ2NjU2NXxVbmtub3dufFRXRnBiR1pzYjNkOGV5SkZiWEIwZVUxaGNHa2lPblJ5ZFdVc0lsWWlPaUl3TGpBdU1EQXdNQ0lzSWxBaU9pSlhhVzR6TWlJc0lrRk9Jam9pVFdGcGJDSXNJbGRVSWpveWZRPT18MHx8fA%3d%3d&amp;sdata=NDNBOXpmQlpaYnFhTktmUnIyRTNzMll4TUpaY3JXTWxhaXQvRndGbHo3TT0%3d" TargetMode="External"/><Relationship Id="rId37" Type="http://schemas.openxmlformats.org/officeDocument/2006/relationships/hyperlink" Target="../../../../../../../../../../../../../:w:/r/sites/Global%20Server%20And%20Platform%20Operations/siops/Shared%20Documents/3%20-%20PROJECTS/S4%20HANA%20RAF/How_to_docu/Saprouter%20configuration.docx?d=w2c04d93f499f4f1195baf99ebbba32c2&amp;csf=1&amp;web=1&amp;e=oiaMug" TargetMode="External"/><Relationship Id="rId53" Type="http://schemas.openxmlformats.org/officeDocument/2006/relationships/hyperlink" Target="../../../../../../../../../../../../../:w:/r/sites/Global%20Server%20And%20Platform%20Operations/siops/Shared%20Documents/2%20-%20OPERATIONS/St06.docx_final_version.docx?d=w751c6b5dbc0240bda5e15d0e8a306fb3&amp;csf=1&amp;web=1&amp;e=92CXTa" TargetMode="External"/><Relationship Id="rId58" Type="http://schemas.openxmlformats.org/officeDocument/2006/relationships/hyperlink" Target="../../../../../../../../../../../../../:w:/r/sites/Global%20Server%20And%20Platform%20Operations/siops/_layouts/15/Doc.aspx?sourcedoc=%7BBE5CD618-E7AF-4BB5-9D27-EFE45AE0FA15%7D&amp;file=Hana_Parameter_check.docx&amp;action=default&amp;mobileredirect=true&amp;ovuser=1562f007-09a4-4fcb-936b-e79246571fc7%2Cin10f5%40linde.com&amp;clickparams=eyJBcHBOYW1lIjoiVGVhbXMtRGVza3RvcCIsIkFwcFZlcnNpb24iOiI0OS8yNTAzMTMyMTAxNCIsIkhhc0ZlZGVyYXRlZFVzZXIiOmZhbHNlfQ%3D%3D" TargetMode="External"/><Relationship Id="rId74" Type="http://schemas.openxmlformats.org/officeDocument/2006/relationships/hyperlink" Target="../../../../../../:w:/r/sites/Global%20Server%20And%20Platform%20Operations/siops/Shared%20Documents/3%20-%20PROJECTS/S4%20HANA%20General%20docs/Hana%20System%20build%20docs/Interface%20setup%20doc/BTP_FIORI/FIORI_BTP%20seutp.docx?d=wa88631ae022d4aeb8e6d0248cb24eb73&amp;csf=1&amp;web=1&amp;e=ddIBM1" TargetMode="External"/><Relationship Id="rId79" Type="http://schemas.openxmlformats.org/officeDocument/2006/relationships/hyperlink" Target="../../../../../../:w:/r/sites/Global%20Server%20And%20Platform%20Operations/siops/Shared%20Documents/3%20-%20PROJECTS/S4%20HANA%20General%20docs/Hana%20System%20build%20docs/scripting%20parameter.docx?d=w66f3c202b8304c50ac3941fa79050ed0&amp;csf=1&amp;web=1&amp;e=19f0P8" TargetMode="External"/><Relationship Id="rId5" Type="http://schemas.openxmlformats.org/officeDocument/2006/relationships/hyperlink" Target="../../../../../../../../../../../../../:p:/r/sites/Global%20Server%20And%20Platform%20Operations/siops/Shared%20Documents/4%20-%20DOCUMENTATION/Procedure/Linde%20SAP%20BASIS%20Security%20Guidelines%20GSPO%20Basis.pptx?d=w2e5a3ba360324e848d975fb5cec90746&amp;csf=1&amp;web=1&amp;e=GV1vwn" TargetMode="External"/><Relationship Id="rId19" Type="http://schemas.openxmlformats.org/officeDocument/2006/relationships/hyperlink" Target="../../../../../../../../../../../../../:w:/r/sites/Global%20Server%20And%20Platform%20Operations/siops/Shared%20Documents/2%20-%20OPERATIONS/Web%20Dispatcher/Add%20SID%20to%20Webdispatcher.docx?d=w7f6cfea9088f4dd783bfbef080921457&amp;csf=1&amp;web=1&amp;e=Pajj0a" TargetMode="External"/><Relationship Id="rId14" Type="http://schemas.openxmlformats.org/officeDocument/2006/relationships/hyperlink" Target="../../../../../../../../../../../../../:w:/r/sites/Global%20Server%20And%20Platform%20Operations/siops/Shared%20Documents/3%20-%20PROJECTS/Portal/ADS/ADS_Configuration_in_NW7.5.docx?d=w141d1fa74e80420399732d618552fa63&amp;csf=1&amp;web=1&amp;e=CQsInO" TargetMode="External"/><Relationship Id="rId22" Type="http://schemas.openxmlformats.org/officeDocument/2006/relationships/hyperlink" Target="../../../../../../../../../../../../../:w:/r/sites/Global%20Server%20And%20Platform%20Operations/siops/Shared%20Documents/3%20-%20PROJECTS/Malaga/Supporting%20Documents/Mass%20job%20change.docx?d=w8227198820724f09b09a3e9cea0e65a5&amp;csf=1&amp;web=1&amp;e=LqV9kY" TargetMode="External"/><Relationship Id="rId27" Type="http://schemas.openxmlformats.org/officeDocument/2006/relationships/hyperlink" Target="../../Forms/WIDE.aspx?id=%2Fsites%2FGlobal%20Server%20And%20Platform%20Operations%2Fsiops%2FShared%20Documents%2F2%20%2D%20OPERATIONS%2FCloud%20Connector%2FUtsha%5FCloud&amp;viewid=8d381445%2D193a%2D4128%2D890b%2D36bf43ff9351" TargetMode="External"/><Relationship Id="rId30" Type="http://schemas.openxmlformats.org/officeDocument/2006/relationships/hyperlink" Target="../../../../../../../../../../../../../:w:/r/sites/Global%20Server%20And%20Platform%20Operations/siops/Shared%20Documents/2%20-%20OPERATIONS/ASE/Issue%20Capture%20%26%20Findings/ASE_Issues/JS_Agent_error_sapsa_locked.docx?d=w3709e6bc7d3b4e84bb14302ec9bbaf7d&amp;csf=1&amp;web=1&amp;e=17MorD" TargetMode="External"/><Relationship Id="rId35" Type="http://schemas.openxmlformats.org/officeDocument/2006/relationships/hyperlink" Target="../../../../../../../../../../../../../:p:/r/sites/Global%20Server%20And%20Platform%20Operations/siops/Shared%20Documents/2%20-%20OPERATIONS/HANA/HANA%20Issue/hdbconnectivity%20issue.pptm?d=wc0c099a21d52444f964ec116337bd685&amp;csf=1&amp;web=1&amp;e=lUXgOj" TargetMode="External"/><Relationship Id="rId43" Type="http://schemas.openxmlformats.org/officeDocument/2006/relationships/hyperlink" Target="../../../../../../../../../../../../../:w:/r/sites/Global%20Server%20And%20Platform%20Operations/siops/Shared%20Documents/3%20-%20PROJECTS/Solman%20activities/Wily%20upgrade%20ver1.0.docx?d=we84c79449bc642a08e70c41011773e75&amp;csf=1&amp;web=1&amp;e=Liv0rj" TargetMode="External"/><Relationship Id="rId48" Type="http://schemas.openxmlformats.org/officeDocument/2006/relationships/hyperlink" Target="../../../../../../:w:/r/sites/Global%20Server%20And%20Platform%20Operations/siops/Shared%20Documents/3%20-%20PROJECTS/S4%20HANA%20General%20docs/Hana%20System%20build%20docs/SCOT%20CONFIGURATION.docx?d=w928dc3a544e54a99b017a34965fd9dca&amp;csf=1&amp;web=1&amp;e=bPq6Xf" TargetMode="External"/><Relationship Id="rId56" Type="http://schemas.openxmlformats.org/officeDocument/2006/relationships/hyperlink" Target="../../../../../../:w:/r/sites/Global%20Server%20And%20Platform%20Operations/siops/Shared%20Documents/2%20-%20OPERATIONS/HANA/Veem%20backup/SOP%20for%20HANA%20backup%20and%20Restore/FCI-HANA-Restore%20-%20Latest.docx?d=w98c2ab9b0bc7479db448641c49c52bc1&amp;csf=1&amp;web=1&amp;e=H7uHJj" TargetMode="External"/><Relationship Id="rId64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KPIexpectations/KPI_Guidelines_V1.0.docx?d=w89f1c1ddb2244cffae72ede4295d3083&amp;csf=1&amp;web=1&amp;e=BnOxXZ" TargetMode="External"/><Relationship Id="rId69" Type="http://schemas.openxmlformats.org/officeDocument/2006/relationships/hyperlink" Target="../../../../../../:w:/r/sites/Global%20Server%20And%20Platform%20Operations/siops/Shared%20Documents/2%20-%20OPERATIONS/Certificate%20Renewal%20Process/SeeBurger_Certificate_Renewal_Guidelines.docx?d=w94622303f53e4704916c9ed3814c3324&amp;csf=1&amp;web=1&amp;e=n1tZtc" TargetMode="External"/><Relationship Id="rId77" Type="http://schemas.openxmlformats.org/officeDocument/2006/relationships/hyperlink" Target="../../../../../../:w:/r/sites/Global%20Server%20And%20Platform%20Operations/siops/Shared%20Documents/3%20-%20PROJECTS/S4%20HANA%20General%20docs/Hana%20System%20build%20docs/STRUST%20and%20License%20.docx?d=w4c9729191b44415490f57800f894ef53&amp;csf=1&amp;web=1&amp;e=t0yld9" TargetMode="External"/><Relationship Id="rId8" Type="http://schemas.openxmlformats.org/officeDocument/2006/relationships/hyperlink" Target="../../../../../../../../../../../../../:w:/r/sites/Global%20Server%20And%20Platform%20Operations/siops/Shared%20Documents/2%20-%20OPERATIONS/ASE/ASE-SYSTEM_DB_SPACE-check/ASE%20Database%20space%20check.docx?d=we3e21bbbf60149569ee7f6cb5b857f36&amp;csf=1&amp;web=1&amp;e=YZI1HX" TargetMode="External"/><Relationship Id="rId51" Type="http://schemas.openxmlformats.org/officeDocument/2006/relationships/hyperlink" Target="../../Forms/WIDE.aspx?id=%2Fsites%2FGlobal%20Server%20And%20Platform%20Operations%2Fsiops%2FShared%20Documents%2F2%20%2D%20OPERATIONS%2FLCM%2FLCM%20Enhanced%20Implementation%20Process%20Documents&amp;sortField=Modified&amp;isAscending=false&amp;viewid=40aeaa2c%2D7416%2D41e4%2Da50b%2Daa3d2f3d4c5f&amp;FolderCTID=0x01200018A5862A3FF541449B36D2B745FF1936" TargetMode="External"/><Relationship Id="rId72" Type="http://schemas.openxmlformats.org/officeDocument/2006/relationships/hyperlink" Target="../../../../../../:w:/r/sites/Global%20Server%20And%20Platform%20Operations/siops/Shared%20Documents/2%20-%20OPERATIONS/LCM/2026/Wave-1/SOP/SCC4_SE06_Checks.docx?d=wa115ac7598c8484eaafc610352405c02&amp;csf=1&amp;web=1&amp;e=JJ7fbY" TargetMode="External"/><Relationship Id="rId80" Type="http://schemas.openxmlformats.org/officeDocument/2006/relationships/hyperlink" Target="../../../../../../:w:/r/sites/Global%20Server%20And%20Platform%20Operations/siops/Shared%20Documents/3%20-%20PROJECTS/S4%20HANA%20General%20docs/Hana%20System%20build%20docs/How%20to%20manage%20SAP%20standard%20templates.docx?d=wce1d1aff13574a118cda3cb0a354ced8&amp;csf=1&amp;web=1&amp;e=6gDtzz" TargetMode="External"/><Relationship Id="rId85" Type="http://schemas.openxmlformats.org/officeDocument/2006/relationships/drawing" Target="../drawings/drawing2.xml"/><Relationship Id="rId3" Type="http://schemas.openxmlformats.org/officeDocument/2006/relationships/hyperlink" Target="../../../../../../../../../../../../../:w:/r/sites/Global%20Server%20And%20Platform%20Operations/siops/Shared%20Documents/3%20-%20PROJECTS/S4%20HANA%20RAF/S9A_S91%20%20TM0/Oracle_installation.docx?d=w0c0b98badfc3423d83f3fa9f5b86e4c3&amp;csf=1&amp;web=1&amp;e=m9PrVe" TargetMode="External"/><Relationship Id="rId12" Type="http://schemas.openxmlformats.org/officeDocument/2006/relationships/hyperlink" Target="../../../../../../../../../../../../../:w:/r/sites/Global%20Server%20And%20Platform%20Operations/siops/Shared%20Documents/2%20-%20OPERATIONS/ASE/ASE%20Automatic%20DB%20Expansion/Sybase%20ASE%20-%20Auto%20DB%20Expansion%20Config%20(NEW).docx?d=w2c1fac6e556d4df085394841ab10aed4&amp;csf=1&amp;web=1&amp;e=WoRUkv" TargetMode="External"/><Relationship Id="rId17" Type="http://schemas.openxmlformats.org/officeDocument/2006/relationships/hyperlink" Target="../../../../../../../../../../../../../:w:/r/sites/Global%20Server%20And%20Platform%20Operations/siops/Shared%20Documents/3%20-%20PROJECTS/BW4HANA%20upgrade/GPW/GPW_SPS_2022to2023_Upgrade.docx?d=w5b153870abf247df98b468b6a38e9db7&amp;csf=1&amp;web=1&amp;e=HxWrMe" TargetMode="External"/><Relationship Id="rId25" Type="http://schemas.openxmlformats.org/officeDocument/2006/relationships/hyperlink" Target="../../../../../../../../../../../../../:w:/r/sites/Global%20Server%20And%20Platform%20Operations/siops/Shared%20Documents/3%20-%20PROJECTS/S4%20HANA%20General%20docs/Hana%20System%20build%20docs/Configure%20SAP%20standard%20jobs%20via%20SJOBREPO.docx?d=wd5bcfa269af64e4c934d1e44554e8015&amp;csf=1&amp;web=1&amp;e=2RoAIy" TargetMode="External"/><Relationship Id="rId33" Type="http://schemas.openxmlformats.org/officeDocument/2006/relationships/hyperlink" Target="../../../../../../../../../../../../../:w:/r/sites/Global%20Server%20And%20Platform%20Operations/siops/Shared%20Documents/3%20-%20PROJECTS/IBP%20Add-on%20D1A%20and%20D03/Agent_installation_config_final.docx?d=wa8a473f8007e4963b92d9f12831ef8ba&amp;csf=1&amp;web=1&amp;e=TJ43dK" TargetMode="External"/><Relationship Id="rId38" Type="http://schemas.openxmlformats.org/officeDocument/2006/relationships/hyperlink" Target="../../../../../../:w:/r/sites/Global%20Server%20And%20Platform%20Operations/siops/Shared%20Documents/3%20-%20PROJECTS/S4%20HANA%20General%20docs/Hana%20System%20build%20docs/SMD%20Agent%20Installtion.docx?d=w4dca86b74fcc4dc1bccaac3d1bc18c95&amp;csf=1&amp;web=1&amp;e=JoRUaw" TargetMode="External"/><Relationship Id="rId46" Type="http://schemas.openxmlformats.org/officeDocument/2006/relationships/hyperlink" Target="../../../../../../../../../../../../../:w:/r/sites/Global%20Server%20And%20Platform%20Operations/siops/Shared%20Documents/3%20-%20PROJECTS/Solman%20activities/Solman%20SP10%20upgrade/Solman%20upgrade.docx?d=weffb7f2f220c4d948e922b5577e616f2&amp;csf=1&amp;web=1&amp;e=FaRNA6" TargetMode="External"/><Relationship Id="rId59" Type="http://schemas.openxmlformats.org/officeDocument/2006/relationships/hyperlink" Target="../../../../../../../../../../../../../:w:/r/sites/Global%20Server%20And%20Platform%20Operations/siops/Shared%20Documents/4%20-%20DOCUMENTATION/SOP/SOP%20HANA%20DB%20admin%20users.docx?d=w3218c92dfd6940058221064ec54389af&amp;csf=1&amp;web=1&amp;e=PRtxNH" TargetMode="External"/><Relationship Id="rId67" Type="http://schemas.openxmlformats.org/officeDocument/2006/relationships/hyperlink" Target="../../../../../../:p:/r/sites/Global%20Server%20And%20Platform%20Operations/siops/Shared%20Documents/4%20-%20DOCUMENTATION/Procedure/Linde%20SAP%20BASIS%20Operations%20Do%27s%20%26%20Don%27t.pptx?d=w65550fa9d7ed4c2b83a4c4a6155baf38&amp;csf=1&amp;web=1&amp;e=13rHb2" TargetMode="External"/><Relationship Id="rId20" Type="http://schemas.openxmlformats.org/officeDocument/2006/relationships/hyperlink" Target="../../../../../../../../../../../../../:w:/r/sites/Global%20Server%20And%20Platform%20Operations/siops/Shared%20Documents/2%20-%20OPERATIONS/TGE%20Client%20Refresh/Steps_for%20Client_Copy.docx?d=w6aa61a6f273945c79e0e4188e327b64e&amp;csf=1&amp;web=1&amp;e=fXPpWe" TargetMode="External"/><Relationship Id="rId41" Type="http://schemas.openxmlformats.org/officeDocument/2006/relationships/hyperlink" Target="../../../../../../../../../../../../../:l:/r/sites/Global%20Server%20And%20Platform%20Operations/siops/Lists/SAP%20SID%20List?e=gPgCb8" TargetMode="External"/><Relationship Id="rId54" Type="http://schemas.openxmlformats.org/officeDocument/2006/relationships/hyperlink" Target="../../../../../../:w:/r/sites/Global%20Server%20And%20Platform%20Operations/siops/Shared%20Documents/2%20-%20OPERATIONS/Tablespace%20analysis/Table%20Space_Analysis.docx?d=w6f633b6f6aac40388d1e29f88542a44d&amp;csf=1&amp;web=1&amp;e=cjbHp1" TargetMode="External"/><Relationship Id="rId62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Communication%20Guidelines/Communication_BestPractice_V1.0.docx?d=w74c2828c6fb44f08b28dada92198dde7&amp;csf=1&amp;web=1&amp;e=NgQiMP" TargetMode="External"/><Relationship Id="rId70" Type="http://schemas.openxmlformats.org/officeDocument/2006/relationships/hyperlink" Target="../../../../../../:w:/r/sites/Global%20Server%20And%20Platform%20Operations/siops/Shared%20Documents/3%20-%20PROJECTS/S4%20HANA%20General%20docs/Hana%20System%20build%20docs/checklists/Hana%20Post%20Installation%20checks.docx?d=w2016fbd1a6074e9c8f370c15356053a8&amp;csf=1&amp;web=1&amp;e=c8XTPm" TargetMode="External"/><Relationship Id="rId75" Type="http://schemas.openxmlformats.org/officeDocument/2006/relationships/hyperlink" Target="../../../../../../:w:/r/sites/Global%20Server%20And%20Platform%20Operations/siops/Shared%20Documents/3%20-%20PROJECTS/S4%20HANA%20General%20docs/Hana%20System%20build%20docs/DBACockpit_connection_systemdb.docx?d=w9439ec502a2741c8adbe74a614f67743&amp;csf=1&amp;web=1&amp;e=4Ibfdg" TargetMode="External"/><Relationship Id="rId83" Type="http://schemas.openxmlformats.org/officeDocument/2006/relationships/hyperlink" Target="../../../../../../:w:/r/sites/Global%20Server%20And%20Platform%20Operations/siops/Shared%20Documents/2%20-%20OPERATIONS/HANA%20Hardening/HANA%20SSL%20final%20documents/HANA%20DB%20Security%20HardeningV3.0_final.docx?d=wf1d8de863c4947d596f537c434e847ad&amp;csf=1&amp;web=1&amp;e=m90hlo" TargetMode="External"/><Relationship Id="rId1" Type="http://schemas.openxmlformats.org/officeDocument/2006/relationships/hyperlink" Target="../../../../../../../../../../../../../:x:/r/sites/Global%20Server%20And%20Platform%20Operations/siops/Shared%20Documents/2%20-%20OPERATIONS/System%20Refresh/Refresh%20Document%20Template/Runbook_SID_Refresh-TEMPLATE.xlsx?d=w527dbf15d8a945eea86d303425a75782&amp;csf=1&amp;web=1&amp;e=C99Psv" TargetMode="External"/><Relationship Id="rId6" Type="http://schemas.openxmlformats.org/officeDocument/2006/relationships/hyperlink" Target="../../../../../../../../../../../../../:w:/r/sites/Global%20Server%20And%20Platform%20Operations/siops/Shared%20Documents/4%20-%20DOCUMENTATION/documents/DB13%20Configuration.docx?d=w372155f4243b4659b64fa87101b41303&amp;csf=1&amp;web=1&amp;e=1Dl4hO" TargetMode="External"/><Relationship Id="rId15" Type="http://schemas.openxmlformats.org/officeDocument/2006/relationships/hyperlink" Target="../../../../../../../../../../../../../:w:/r/sites/Global%20Server%20And%20Platform%20Operations/siops/Shared%20Documents/3%20-%20PROJECTS/Azure%20Cloud/Cloud-Azure/Migration/Netweaver%207.5%20-%20Azure.docx?d=w8e0d0b039fdb42caa60507866c985a04&amp;csf=1&amp;web=1&amp;e=ej5LUx" TargetMode="External"/><Relationship Id="rId23" Type="http://schemas.openxmlformats.org/officeDocument/2006/relationships/hyperlink" Target="../../../../../../../../../../../../../:w:/r/sites/Global%20Server%20And%20Platform%20Operations/siops/Shared%20Documents/3%20-%20PROJECTS/GTS%20S4%20Conversion/QGG/HANA%20installation%20and%20GTS%20e4H%20Migration%20for%20QGG.docx?d=wfe6f0d07a52340158790722923e999ad&amp;csf=1&amp;web=1&amp;e=BP8cQr" TargetMode="External"/><Relationship Id="rId28" Type="http://schemas.openxmlformats.org/officeDocument/2006/relationships/hyperlink" Target="../../../../../../../../../../../../../:w:/r/sites/Global%20Server%20And%20Platform%20Operations/siops/Shared%20Documents/2%20-%20OPERATIONS/HANA/HANA%20Issue/ODBC_setup.docx?d=web2442dd692b4f4a87221e6e39a2bcc2&amp;csf=1&amp;web=1&amp;e=M0MBJZ" TargetMode="External"/><Relationship Id="rId36" Type="http://schemas.openxmlformats.org/officeDocument/2006/relationships/hyperlink" Target="../../../SitePages/Home.aspx?RootFolder=%2Fsites%2FGlobal%20Server%20And%20Platform%20Operations%2Fsiops%2FShared%20Documents%2F3%20%2D%20PROJECTS%2FNetapp%20Migration%2F02%20Development%20Phase%2FHana%20Stream%2FRestore%20and%20Recovery&amp;FolderCTID=0x01200018A5862A3FF541449B36D2B745FF1936&amp;View=%7B46B893C3%2D9DD8%2D4694%2DBB59%2DC7E968A09D76%7D" TargetMode="External"/><Relationship Id="rId49" Type="http://schemas.openxmlformats.org/officeDocument/2006/relationships/hyperlink" Target="../../../../../../:w:/r/sites/Global%20Server%20And%20Platform%20Operations/siops/Shared%20Documents/4%20-%20DOCUMENTATION/Procedure/SOP%20Inc_Pro_Ser_Cha%20Operation%20Handling%20Process.docx?d=wcebbe173c1d44f9ab399f80b3e9529a4&amp;csf=1&amp;web=1&amp;e=HHgMe7" TargetMode="External"/><Relationship Id="rId57" Type="http://schemas.openxmlformats.org/officeDocument/2006/relationships/hyperlink" Target="../../../../../../:w:/r/sites/Global%20Server%20And%20Platform%20Operations/siops/Shared%20Documents/3%20-%20PROJECTS/Hana_SPS_ugrade.docx?d=w327f569d1d3644e6bec55c3604dd8b6a&amp;csf=1&amp;web=1&amp;e=Xbycd2" TargetMode="External"/><Relationship Id="rId10" Type="http://schemas.openxmlformats.org/officeDocument/2006/relationships/hyperlink" Target="../../../../../../../../../../../../../:x:/r/sites/Global%20Server%20And%20Platform%20Operations/siops/Shared%20Documents/2%20-%20OPERATIONS/System%20Monitoring/New%20Monitoring%20template/Oracle/ECC_Oracle_Basic_monitoring_check_v2.xlsx?d=wa8ab1bb4ee424d728ee1dea2998ba73c&amp;csf=1&amp;web=1&amp;e=ZgxMiJ" TargetMode="External"/><Relationship Id="rId31" Type="http://schemas.openxmlformats.org/officeDocument/2006/relationships/hyperlink" Target="../../../../../../../../../../../../../:w:/r/sites/Global%20Server%20And%20Platform%20Operations/siops/Shared%20Documents/2%20-%20OPERATIONS/System%20Refresh/Refresh%20Document%20Template/SOAMANAGE%20FIX.docx?d=we416566d2f5c4068ac6c285db32903b1&amp;csf=1&amp;web=1&amp;e=PzzF6Q" TargetMode="External"/><Relationship Id="rId44" Type="http://schemas.openxmlformats.org/officeDocument/2006/relationships/hyperlink" Target="../../../../../../:p:/r/sites/Global%20Server%20And%20Platform%20Operations/siops/Shared%20Documents/4%20-%20DOCUMENTATION/documents/FCI_vFaaS_to_pFaaS_Migration/TSI_vFaaS_pFaaS.pptx?d=w2b12622fb0ac467a9184e44c7bb1034d&amp;csf=1&amp;web=1&amp;e=PHKcC7" TargetMode="External"/><Relationship Id="rId52" Type="http://schemas.openxmlformats.org/officeDocument/2006/relationships/hyperlink" Target="../../../../../../../../../../../../../:w:/r/sites/Global%20Server%20And%20Platform%20Operations/siops/Shared%20Documents/1%20-%20ORG/GSPO%20Management%20Topics/Team%20transformation2024_25/TeamTransformation/SolutionDesign/ImplementingTechnicaldocuments/Document%20Format.docx?d=w8ec13ea3c0c7480986681f535d759634&amp;csf=1&amp;web=1&amp;e=xRbDUb" TargetMode="External"/><Relationship Id="rId60" Type="http://schemas.openxmlformats.org/officeDocument/2006/relationships/hyperlink" Target="../../../SitePages/Home.aspx?RootFolder=%2Fsites%2FGlobal%20Server%20And%20Platform%20Operations%2Fsiops%2FShared%20Documents%2F2%20%2D%20OPERATIONS%2FLCM%2FSOP&amp;FolderCTID=0x01200018A5862A3FF541449B36D2B745FF1936&amp;View=%7B46B893C3%2D9DD8%2D4694%2DBB59%2DC7E968A09D76%7D" TargetMode="External"/><Relationship Id="rId65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Roles%20Definition%20SOP/LO_TO_Responsibility_v1.0.docx?d=w6de3220cbec54dc1a3f6280fda1b702f&amp;csf=1&amp;web=1&amp;e=R9xDYZ" TargetMode="External"/><Relationship Id="rId73" Type="http://schemas.openxmlformats.org/officeDocument/2006/relationships/hyperlink" Target="../../../../../../:w:/r/sites/Global%20Server%20And%20Platform%20Operations/siops/Shared%20Documents/4%20-%20DOCUMENTATION/Procedure/myPAS/MyPAS%20SAP%20Basis%20password%20management.docx?d=w9108778cba6844c7ab31794f8748c628&amp;csf=1&amp;web=1&amp;e=jQuro7" TargetMode="External"/><Relationship Id="rId78" Type="http://schemas.openxmlformats.org/officeDocument/2006/relationships/hyperlink" Target="../../../../../../:w:/r/sites/Global%20Server%20And%20Platform%20Operations/siops/Shared%20Documents/3%20-%20PROJECTS/S4%20HANA%20General%20docs/Hana%20System%20build%20docs/SCC4%20settings.docx?d=w0ba60b5d7bf64fce8db6c79954439567&amp;csf=1&amp;web=1&amp;e=S05e1A" TargetMode="External"/><Relationship Id="rId81" Type="http://schemas.openxmlformats.org/officeDocument/2006/relationships/hyperlink" Target="../../../../../../:w:/r/sites/Global%20Server%20And%20Platform%20Operations/siops/Shared%20Documents/3%20-%20PROJECTS/S4%20HANA%20General%20docs/Hana%20System%20build%20docs/How%20to%20update%20SAPLogon%20entries.docx?d=w566dd5589dff4b799f032e884ddd8899&amp;csf=1&amp;web=1&amp;e=uq62io" TargetMode="External"/><Relationship Id="rId4" Type="http://schemas.openxmlformats.org/officeDocument/2006/relationships/hyperlink" Target="../../../../../../../../../../../../../:w:/r/sites/Global%20Server%20And%20Platform%20Operations/siops/Shared%20Documents/3%20-%20PROJECTS/S4%20HANA%20General%20docs/Hana%20System%20build%20docs/S4%20HANA%20system%20Installation%20document%20for%20S4%20Project%20sytems.docx?d=w059aa74847b34c2fa4fde7480978cfb9&amp;csf=1&amp;web=1&amp;e=qcqVdA" TargetMode="External"/><Relationship Id="rId9" Type="http://schemas.openxmlformats.org/officeDocument/2006/relationships/hyperlink" Target="../../../../../../:w:/r/sites/Global%20Server%20And%20Platform%20Operations/siops/Shared%20Documents/2%20-%20OPERATIONS/Linde%20SNC_SSO_implementation.docx?d=w6fd46b25a6cd4b45851a1fa1c98560b9&amp;csf=1&amp;web=1&amp;e=MxjBBo" TargetMode="External"/><Relationship Id="rId13" Type="http://schemas.openxmlformats.org/officeDocument/2006/relationships/hyperlink" Target="../../../../../../../../../../../../../:x:/r/sites/Global%20Server%20And%20Platform%20Operations/siops/Shared%20Documents/2%20-%20OPERATIONS/System%20Monitoring/Daily%20Manual%20Monitoring%20Template/ASE_Basic_monitoring_check_1.1.xlsx?d=wcc50b6bcf2664b95b61394c291957071&amp;csf=1&amp;web=1&amp;e=ZUNK7k" TargetMode="External"/><Relationship Id="rId18" Type="http://schemas.openxmlformats.org/officeDocument/2006/relationships/hyperlink" Target="../../../../../../../../../../../../../:w:/r/sites/Global%20Server%20And%20Platform%20Operations/siops/Shared%20Documents/3%20-%20PROJECTS/Oracle19c-Upgrade/Oracle_19C.docx?d=w32a29977472645198911e4ff5a4d3738&amp;csf=1&amp;web=1&amp;e=I4KWqt" TargetMode="External"/><Relationship Id="rId39" Type="http://schemas.openxmlformats.org/officeDocument/2006/relationships/hyperlink" Target="../../../../../../../../../../../../../:w:/r/sites/Global%20Server%20And%20Platform%20Operations/siops/Shared%20Documents/2%20-%20OPERATIONS/ORACLE/System%20Refresh/Self%20System%20restore/QGE_Oracle_Restore_Recovery%203.docx?d=w31737fa9a434408da869934f29a00f9c&amp;csf=1&amp;web=1&amp;e=OVbYyn" TargetMode="External"/><Relationship Id="rId34" Type="http://schemas.openxmlformats.org/officeDocument/2006/relationships/hyperlink" Target="../../../../../../../../../../../../../:w:/r/sites/Global%20Server%20And%20Platform%20Operations/siops/Shared%20Documents/4%20-%20DOCUMENTATION/Procedure/Provisioning/PROCESS%20FOR%20NEW%20SERVER%20PROVISIONING%202025.docx?d=wa0525f08886747ad80a5817f5adc24ac&amp;csf=1&amp;web=1&amp;e=IlJ8vt&amp;xsdata=MDV8MDJ8U2FudG9zaC5LdW1hckBsaW5kZS5jb218OTQ4ZTcwNmFkZjM3NDc2OGZhYjQwOGRkN2NjYzE3M2J8MTU2MmYwMDcwOWE0NGZjYjkzNmJlNzkyNDY1NzFmYzd8MHwwfDYzODgwMzkzODE4MjExNTk1MnxVbmtub3dufFRXRnBiR1pzYjNkOGV5SkZiWEIwZVUxaGNHa2lPblJ5ZFdVc0lsWWlPaUl3TGpBdU1EQXdNQ0lzSWxBaU9pSlhhVzR6TWlJc0lrRk9Jam9pVFdGcGJDSXNJbGRVSWpveWZRPT18MHx8fA%3d%3d&amp;sdata=SlRIWGo3VDl4OFJyWXlTcmNkWll4RFdYbFZxV1RnYjBsbTY3cGlWVFZQQT0%3d" TargetMode="External"/><Relationship Id="rId50" Type="http://schemas.openxmlformats.org/officeDocument/2006/relationships/hyperlink" Target="../../../../../../../../../../../../../:w:/r/sites/Global%20Server%20And%20Platform%20Operations/siops/Shared%20Documents/2%20-%20OPERATIONS/vncserver/Configtool_VNC_procoess.docx?d=w4dba88472f9d41ed90a738af09d2f97b&amp;csf=1&amp;web=1&amp;e=KjYDYq" TargetMode="External"/><Relationship Id="rId55" Type="http://schemas.openxmlformats.org/officeDocument/2006/relationships/hyperlink" Target="../../../../../../../../../../../../../:w:/r/sites/Global%20Server%20And%20Platform%20Operations/siops/_layouts/15/Doc.aspx?sourcedoc=%7BB220328F-DB70-4B1A-BA6A-21BFAE5F9E4B%7D&amp;file=SLT_setup_DRG.docx&amp;action=default&amp;mobileredirect=true" TargetMode="External"/><Relationship Id="rId76" Type="http://schemas.openxmlformats.org/officeDocument/2006/relationships/hyperlink" Target="../../../../../../:w:/r/sites/Global%20Server%20And%20Platform%20Operations/siops/Shared%20Documents/3%20-%20PROJECTS/S4%20HANA%20General%20docs/Hana%20System%20build%20docs/AFL_SAP_SETUP.docx?d=we1b9514f3add46fc8b48939d5d5d6e5d&amp;csf=1&amp;web=1&amp;e=g1vC82" TargetMode="External"/><Relationship Id="rId7" Type="http://schemas.openxmlformats.org/officeDocument/2006/relationships/hyperlink" Target="../../../../../../../../../../../../../:w:/r/sites/Global%20Server%20And%20Platform%20Operations/siops/Shared%20Documents/3%20-%20PROJECTS/S4%20HANA%20RAF/D9A/SUM_%2010.docx?d=wb60b3c40d09a45f18753d44d7429f373&amp;csf=1&amp;web=1&amp;e=UDtacS" TargetMode="External"/><Relationship Id="rId71" Type="http://schemas.openxmlformats.org/officeDocument/2006/relationships/hyperlink" Target="../../../../../../:w:/r/sites/Global%20Server%20And%20Platform%20Operations/soldes/_layouts/15/Doc.aspx?sourcedoc=%7B27DB1BA3-6A47-4DBE-9ED6-5B424D45DE99%7D&amp;file=SAP%20Global%20Technical%20Maintenance%20SOP.docx&amp;action=default&amp;mobileredirect=true" TargetMode="External"/><Relationship Id="rId2" Type="http://schemas.openxmlformats.org/officeDocument/2006/relationships/hyperlink" Target="../../../../../../../../../../../../../:w:/r/sites/Global%20Server%20And%20Platform%20Operations/siops/Shared%20Documents/4%20-%20DOCUMENTATION/Procedure/DecomissionProcedure.docx?d=w4b2b6e4d13994411bbcf645c5bb05592&amp;csf=1&amp;web=1&amp;e=oq8OVg" TargetMode="External"/><Relationship Id="rId29" Type="http://schemas.openxmlformats.org/officeDocument/2006/relationships/hyperlink" Target="../../../../../../../../../../../../../:w:/r/sites/Global%20Server%20And%20Platform%20Operations/siops/Shared%20Documents/2%20-%20OPERATIONS/LCM/2023/Wave-1/SOP/Hana_LCM/MAI%20pause.docx?d=w342f05f7abfe4c88878d01de6c3b6a8f&amp;csf=1&amp;web=1&amp;e=4I51Ri" TargetMode="External"/><Relationship Id="rId24" Type="http://schemas.openxmlformats.org/officeDocument/2006/relationships/hyperlink" Target="../../../../../../../../../../../../../:w:/r/sites/Global%20Server%20And%20Platform%20Operations/siops/Shared%20Documents/3%20-%20PROJECTS/S4%20HANA%20General%20docs/Ariba%20Basis%20Tasks.docx?d=we31d9fb5f44a419b870fa97128c2486c&amp;csf=1&amp;web=1&amp;e=rMzS4v" TargetMode="External"/><Relationship Id="rId40" Type="http://schemas.openxmlformats.org/officeDocument/2006/relationships/hyperlink" Target="../../../../../../../../../../../../../:x:/r/sites/Global%20Server%20And%20Platform%20Operations/siops/Shared%20Documents/5%20-%20OPS%20REPORTS/pacadm/pacadm.xlsb?d=w8d28936e8721414bb2b6e27b74dfbf5b&amp;csf=1&amp;web=1&amp;e=dRDgvm" TargetMode="External"/><Relationship Id="rId45" Type="http://schemas.openxmlformats.org/officeDocument/2006/relationships/hyperlink" Target="../../../SitePages/Home.aspx?RootFolder=%2Fsites%2FGlobal%20Server%20And%20Platform%20Operations%2Fsiops%2FShared%20Documents%2F3%20%2D%20PROJECTS%2FNetapp%20Migration&amp;FolderCTID=0x01200018A5862A3FF541449B36D2B745FF1936&amp;View=%7B46B893C3%2D9DD8%2D4694%2DBB59%2DC7E968A09D76%7D" TargetMode="External"/><Relationship Id="rId66" Type="http://schemas.openxmlformats.org/officeDocument/2006/relationships/hyperlink" Target="../../../SitePages/Home.aspx?RootFolder=%2fsites%2fGlobal+Server+And+Platform+Operations%2fsiops%2fShared+Documents%2f4+-+DOCUMENTATION%2fProcedure%2fDisaster+Recovery%2fFCI+HANA&amp;FolderCTID=0x01200018A5862A3FF541449B36D2B745FF1936&amp;View=%7b46B893C3-9DD8-4694-BB59-C7E968A09D76%7d&amp;xsdata=MDV8MDJ8fGYzNmI2YjRlODk4YzQ5ZGZjNGY0MDhkZGIzOWRjZWZhfDE1NjJmMDA3MDlhNDRmY2I5MzZiZTc5MjQ2NTcxZmM3fDB8MHw2Mzg4NjQyMTI1MjAyNTY3NTZ8VW5rbm93bnxWR1ZoYlhOVFpXTjFjbWwwZVZObGNuWnBZMlY4ZXlKRFFTSTZJbFJsWVcxelgwRlVVRk5sY25acFkyVmZVMUJQVEU5R0lpd2lWaUk2SWpBdU1DNHdNREF3SWl3aVVDSTZJbGRwYmpNeUlpd2lRVTRpT2lKUGRHaGxjaUlzSWxkVUlqb3hNWDA9fDF8TDJOb1lYUnpMekU1T2pOaE16WTROR0k1TFRKbVpESXRORGRoTVMxaVkyVmtMVFZoT0RNM01qZzNZamsyWkY5aU5XWXpaVGxqTXkwMU1EZzJMVFE0WWpFdE9HUmtOeTA0WlRFeE4yRTNOMkU0TW1OQWRXNXhMbWRpYkM1emNHRmpaWE12YldWemMyRm5aWE12TVRjMU1EZ3lORFExTVRjeU9RPT18NjYxMzIyZmJkNDIxNDE0YWM0ZjQwOGRkYjM5ZGNlZmF8Mzk0ZDc5ZTQ2N2M2NGRiY2FkNjkyZTRhMDM4OTAzNzU%3d&amp;sdata=RzhmcUpiTGNkLyt3TlQwTUtqaTRLSUdSNjU3VXdNejkxcHZMR3hjdnBrbz0%3d&amp;ovuser=1562f007-09a4-4fcb-936b-e79246571fc7%2cin08f9%40linde.com&amp;OR=Teams-HL&amp;CT=1750824468130&amp;clickparams=eyJBcHBOYW1lIjoiVGVhbXMtRGVza3RvcCIsIkFwcFZlcnNpb24iOiI0OS8yNTA2MDIwNjYxNCIsIkhhc0ZlZGVyYXRlZFVzZXIiOmZhbHNlfQ%3d%3d&amp;SafelinksUrl=https%3a%2f%2flindegroup.sharepoint.com%2fsites%2fGlobal%2520Server%2520And%2520Platform%2520Operations%2fsiops%2fSitePages%2fHome.aspx" TargetMode="External"/><Relationship Id="rId61" Type="http://schemas.openxmlformats.org/officeDocument/2006/relationships/hyperlink" Target="../../../../../../../../../../../../../:w:/r/sites/Global%20Server%20And%20Platform%20Operations/siops/Shared%20Documents/4%20-%20DOCUMENTATION/Procedure/SOP%20Inc_Pro_Ser_Cha%20Operation%20Handling%20Process%20V4.1.docx?d=wcebbe173c1d44f9ab399f80b3e9529a4&amp;csf=1&amp;web=1&amp;e=yGFOAW" TargetMode="External"/><Relationship Id="rId82" Type="http://schemas.openxmlformats.org/officeDocument/2006/relationships/hyperlink" Target="https://lincipvg3100.edc.linde.grp:44331/ui2/nwbc/?sap-client=100&amp;sap-language=EN&amp;sap-nwbc-node=root&amp;sap-theme=sap_corbu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../../../../../../../../../../../../../:w:/r/sites/Global%20Server%20And%20Platform%20Operations/siops/Shared%20Documents/1%20-%20ORG/GSPO%20Management%20Topics/Team%20transformation2024_25/TeamTransformation/SolutionDesign/ImplementingTechnicaldocuments/Document%20Format.docx?d=w8ec13ea3c0c7480986681f535d759634&amp;csf=1&amp;web=1&amp;e=xRbDUb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../../../../../../../../:w:/r/sites/Global%20Server%20And%20Platform%20Operations/siops/Shared%20Documents/3%20-%20PROJECTS/BW4HANA%20upgrade/GPW/GPW_SPS_2022to2023_Upgrade.docx?d=w5b153870abf247df98b468b6a38e9db7&amp;csf=1&amp;web=1&amp;e=HxWrMe" TargetMode="External"/><Relationship Id="rId21" Type="http://schemas.openxmlformats.org/officeDocument/2006/relationships/hyperlink" Target="../../../../../../../../../../../../../:w:/r/sites/Global%20Server%20And%20Platform%20Operations/siops/Shared%20Documents/2%20-%20OPERATIONS/ASE/ASE%20Automatic%20DB%20Expansion/Sybase%20ASE%20-%20Auto%20DB%20Expansion%20Config%20(NEW).docx?d=w2c1fac6e556d4df085394841ab10aed4&amp;csf=1&amp;web=1&amp;e=WoRUkv" TargetMode="External"/><Relationship Id="rId42" Type="http://schemas.openxmlformats.org/officeDocument/2006/relationships/hyperlink" Target="../../../../../../../../../../../../../:w:/r/sites/Global%20Server%20And%20Platform%20Operations/siops/Shared%20Documents/3%20-%20PROJECTS/IBP%20Add-on%20D1A%20and%20D03/Agent_installation_config_final.docx?d=wa8a473f8007e4963b92d9f12831ef8ba&amp;csf=1&amp;web=1&amp;e=TJ43dK" TargetMode="External"/><Relationship Id="rId47" Type="http://schemas.openxmlformats.org/officeDocument/2006/relationships/hyperlink" Target="../../../../../../:w:/r/sites/Global%20Server%20And%20Platform%20Operations/siops/Shared%20Documents/3%20-%20PROJECTS/S4%20HANA%20General%20docs/Hana%20System%20build%20docs/SMD%20Agent%20Installtion.docx?d=w4dca86b74fcc4dc1bccaac3d1bc18c95&amp;csf=1&amp;web=1&amp;e=JoRUaw" TargetMode="External"/><Relationship Id="rId63" Type="http://schemas.openxmlformats.org/officeDocument/2006/relationships/hyperlink" Target="../../../../../../:w:/r/sites/Global%20Server%20And%20Platform%20Operations/siops/Shared%20Documents/3%20-%20PROJECTS/Hana_SPS_ugrade.docx?d=w327f569d1d3644e6bec55c3604dd8b6a&amp;csf=1&amp;web=1&amp;e=Xbycd2" TargetMode="External"/><Relationship Id="rId68" Type="http://schemas.openxmlformats.org/officeDocument/2006/relationships/hyperlink" Target="../../../../../../:w:/r/sites/Global%20Server%20And%20Platform%20Operations/siops/Shared%20Documents/2%20-%20OPERATIONS/Certificate%20Renewal%20Process/SeeBurger_Certificate_Renewal_Guidelines.docx?d=w94622303f53e4704916c9ed3814c3324&amp;csf=1&amp;web=1&amp;e=n1tZtc" TargetMode="External"/><Relationship Id="rId84" Type="http://schemas.openxmlformats.org/officeDocument/2006/relationships/printerSettings" Target="../printerSettings/printerSettings4.bin"/><Relationship Id="rId16" Type="http://schemas.openxmlformats.org/officeDocument/2006/relationships/hyperlink" Target="../../../../../../../../../../../../../:w:/r/sites/Global%20Server%20And%20Platform%20Operations/siops/Shared%20Documents/3%20-%20PROJECTS/S4%20HANA%20RAF/D9A/SUM_%2010.docx?d=wb60b3c40d09a45f18753d44d7429f373&amp;csf=1&amp;web=1&amp;e=UDtacS" TargetMode="External"/><Relationship Id="rId11" Type="http://schemas.openxmlformats.org/officeDocument/2006/relationships/hyperlink" Target="../../../../../../../../../../../../../:w:/r/sites/Global%20Server%20And%20Platform%20Operations/siops/Shared%20Documents/4%20-%20DOCUMENTATION/Procedure/DecomissionProcedure.docx?d=w4b2b6e4d13994411bbcf645c5bb05592&amp;csf=1&amp;web=1&amp;e=oq8OVg" TargetMode="External"/><Relationship Id="rId32" Type="http://schemas.openxmlformats.org/officeDocument/2006/relationships/hyperlink" Target="../../../../../../../../../../../../../:w:/r/sites/Global%20Server%20And%20Platform%20Operations/siops/Shared%20Documents/3%20-%20PROJECTS/GTS%20S4%20Conversion/QGG/HANA%20installation%20and%20GTS%20e4H%20Migration%20for%20QGG.docx?d=wfe6f0d07a52340158790722923e999ad&amp;csf=1&amp;web=1&amp;e=BP8cQr" TargetMode="External"/><Relationship Id="rId37" Type="http://schemas.openxmlformats.org/officeDocument/2006/relationships/hyperlink" Target="../../../../../../../../../../../../../:w:/r/sites/Global%20Server%20And%20Platform%20Operations/siops/Shared%20Documents/2%20-%20OPERATIONS/HANA/HANA%20Issue/ODBC_setup.docx?d=web2442dd692b4f4a87221e6e39a2bcc2&amp;csf=1&amp;web=1&amp;e=M0MBJZ" TargetMode="External"/><Relationship Id="rId53" Type="http://schemas.openxmlformats.org/officeDocument/2006/relationships/hyperlink" Target="../../../SitePages/Home.aspx?RootFolder=%2Fsites%2FGlobal%20Server%20And%20Platform%20Operations%2Fsiops%2FShared%20Documents%2F3%20%2D%20PROJECTS%2FNetapp%20Migration&amp;FolderCTID=0x01200018A5862A3FF541449B36D2B745FF1936&amp;View=%7B46B893C3%2D9DD8%2D4694%2DBB59%2DC7E968A09D76%7D" TargetMode="External"/><Relationship Id="rId58" Type="http://schemas.openxmlformats.org/officeDocument/2006/relationships/hyperlink" Target="../../Forms/WIDE.aspx?id=%2Fsites%2FGlobal%20Server%20And%20Platform%20Operations%2Fsiops%2FShared%20Documents%2F2%20%2D%20OPERATIONS%2FLCM%2FLCM%20Enhanced%20Implementation%20Process%20Documents&amp;sortField=Modified&amp;isAscending=false&amp;viewid=40aeaa2c%2D7416%2D41e4%2Da50b%2Daa3d2f3d4c5f&amp;FolderCTID=0x01200018A5862A3FF541449B36D2B745FF1936" TargetMode="External"/><Relationship Id="rId74" Type="http://schemas.openxmlformats.org/officeDocument/2006/relationships/hyperlink" Target="../../../../../../:w:/r/sites/Global%20Server%20And%20Platform%20Operations/siops/Shared%20Documents/3%20-%20PROJECTS/S4%20HANA%20General%20docs/Hana%20System%20build%20docs/DBACockpit_connection_systemdb.docx?d=w9439ec502a2741c8adbe74a614f67743&amp;csf=1&amp;web=1&amp;e=4Ibfdg" TargetMode="External"/><Relationship Id="rId79" Type="http://schemas.openxmlformats.org/officeDocument/2006/relationships/hyperlink" Target="../../../../../../:w:/r/sites/Global%20Server%20And%20Platform%20Operations/siops/Shared%20Documents/3%20-%20PROJECTS/S4%20HANA%20General%20docs/Hana%20System%20build%20docs/How%20to%20manage%20SAP%20standard%20templates.docx?d=wce1d1aff13574a118cda3cb0a354ced8&amp;csf=1&amp;web=1&amp;e=6gDtzz" TargetMode="External"/><Relationship Id="rId5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Escalation%20Guidelines/SOP_EscalationProcess_V1.0.docx?d=w05c27b383d1a497c91c3b3abbe990b6f&amp;csf=1&amp;web=1&amp;e=NtXg4i" TargetMode="External"/><Relationship Id="rId19" Type="http://schemas.openxmlformats.org/officeDocument/2006/relationships/hyperlink" Target="../../../../../../../../../../../../../:x:/r/sites/Global%20Server%20And%20Platform%20Operations/siops/Shared%20Documents/2%20-%20OPERATIONS/System%20Monitoring/New%20Monitoring%20template/Oracle/ECC_Oracle_Basic_monitoring_check_v2.xlsx?d=wa8ab1bb4ee424d728ee1dea2998ba73c&amp;csf=1&amp;web=1&amp;e=ZgxMiJ" TargetMode="External"/><Relationship Id="rId14" Type="http://schemas.openxmlformats.org/officeDocument/2006/relationships/hyperlink" Target="../../../../../../../../../../../../../:p:/r/sites/Global%20Server%20And%20Platform%20Operations/siops/Shared%20Documents/4%20-%20DOCUMENTATION/Procedure/Linde%20SAP%20BASIS%20Security%20Guidelines%20GSPO%20Basis.pptx?d=w2e5a3ba360324e848d975fb5cec90746&amp;csf=1&amp;web=1&amp;e=GV1vwn" TargetMode="External"/><Relationship Id="rId22" Type="http://schemas.openxmlformats.org/officeDocument/2006/relationships/hyperlink" Target="../../../../../../../../../../../../../:x:/r/sites/Global%20Server%20And%20Platform%20Operations/siops/Shared%20Documents/2%20-%20OPERATIONS/System%20Monitoring/Daily%20Manual%20Monitoring%20Template/ASE_Basic_monitoring_check_1.1.xlsx?d=wcc50b6bcf2664b95b61394c291957071&amp;csf=1&amp;web=1&amp;e=ZUNK7k" TargetMode="External"/><Relationship Id="rId27" Type="http://schemas.openxmlformats.org/officeDocument/2006/relationships/hyperlink" Target="../../../../../../../../../../../../../:w:/r/sites/Global%20Server%20And%20Platform%20Operations/siops/Shared%20Documents/3%20-%20PROJECTS/Oracle19c-Upgrade/Oracle_19C.docx?d=w32a29977472645198911e4ff5a4d3738&amp;csf=1&amp;web=1&amp;e=I4KWqt" TargetMode="External"/><Relationship Id="rId30" Type="http://schemas.openxmlformats.org/officeDocument/2006/relationships/hyperlink" Target="../../../../../../../../../../../../../:w:/r/sites/Global%20Server%20And%20Platform%20Operations/siops/Shared%20Documents/2%20-%20OPERATIONS/REDO%20LOG%20configuration/Redo%20Log%20Configuration.docx?d=wed51b68ce99244a2b66bb2053968f7db&amp;csf=1&amp;web=1&amp;e=cEJX00" TargetMode="External"/><Relationship Id="rId35" Type="http://schemas.openxmlformats.org/officeDocument/2006/relationships/hyperlink" Target="../../../../../../:w:/r/sites/Global%20Server%20And%20Platform%20Operations/siops/Shared%20Documents/2%20-%20OPERATIONS/LCM/SOP/Sybase%20ASE%20Patch%20Upgrade%202024%20Wave%201.docx?d=w72fb2adb07c7464ab228f71ed49ae3c7&amp;csf=1&amp;web=1&amp;e=lzwfER" TargetMode="External"/><Relationship Id="rId43" Type="http://schemas.openxmlformats.org/officeDocument/2006/relationships/hyperlink" Target="../../../../../../../../../../../../../:w:/r/sites/Global%20Server%20And%20Platform%20Operations/siops/Shared%20Documents/4%20-%20DOCUMENTATION/Procedure/Provisioning/PROCESS%20FOR%20NEW%20SERVER%20PROVISIONING%202025.docx?d=wa0525f08886747ad80a5817f5adc24ac&amp;csf=1&amp;web=1&amp;e=IlJ8vt&amp;xsdata=MDV8MDJ8U2FudG9zaC5LdW1hckBsaW5kZS5jb218OTQ4ZTcwNmFkZjM3NDc2OGZhYjQwOGRkN2NjYzE3M2J8MTU2MmYwMDcwOWE0NGZjYjkzNmJlNzkyNDY1NzFmYzd8MHwwfDYzODgwMzkzODE4MjExNTk1MnxVbmtub3dufFRXRnBiR1pzYjNkOGV5SkZiWEIwZVUxaGNHa2lPblJ5ZFdVc0lsWWlPaUl3TGpBdU1EQXdNQ0lzSWxBaU9pSlhhVzR6TWlJc0lrRk9Jam9pVFdGcGJDSXNJbGRVSWpveWZRPT18MHx8fA%3d%3d&amp;sdata=SlRIWGo3VDl4OFJyWXlTcmNkWll4RFdYbFZxV1RnYjBsbTY3cGlWVFZQQT0%3d" TargetMode="External"/><Relationship Id="rId48" Type="http://schemas.openxmlformats.org/officeDocument/2006/relationships/hyperlink" Target="../../../../../../../../../../../../../:w:/r/sites/Global%20Server%20And%20Platform%20Operations/siops/Shared%20Documents/2%20-%20OPERATIONS/ORACLE/System%20Refresh/Self%20System%20restore/QGE_Oracle_Restore_Recovery%203.docx?d=w31737fa9a434408da869934f29a00f9c&amp;csf=1&amp;web=1&amp;e=OVbYyn" TargetMode="External"/><Relationship Id="rId56" Type="http://schemas.openxmlformats.org/officeDocument/2006/relationships/hyperlink" Target="../../../../../../:w:/r/sites/Global%20Server%20And%20Platform%20Operations/siops/Shared%20Documents/3%20-%20PROJECTS/S4%20HANA%20General%20docs/Hana%20System%20build%20docs/SCOT%20CONFIGURATION.docx?d=w928dc3a544e54a99b017a34965fd9dca&amp;csf=1&amp;web=1&amp;e=bPq6Xf" TargetMode="External"/><Relationship Id="rId64" Type="http://schemas.openxmlformats.org/officeDocument/2006/relationships/hyperlink" Target="../../../../../../../../../../../../../:w:/r/sites/Global%20Server%20And%20Platform%20Operations/siops/_layouts/15/Doc.aspx?sourcedoc=%7BBE5CD618-E7AF-4BB5-9D27-EFE45AE0FA15%7D&amp;file=Hana_Parameter_check.docx&amp;action=default&amp;mobileredirect=true&amp;ovuser=1562f007-09a4-4fcb-936b-e79246571fc7%2Cin10f5%40linde.com&amp;clickparams=eyJBcHBOYW1lIjoiVGVhbXMtRGVza3RvcCIsIkFwcFZlcnNpb24iOiI0OS8yNTAzMTMyMTAxNCIsIkhhc0ZlZGVyYXRlZFVzZXIiOmZhbHNlfQ%3D%3D" TargetMode="External"/><Relationship Id="rId69" Type="http://schemas.openxmlformats.org/officeDocument/2006/relationships/hyperlink" Target="../../../../../../:w:/r/sites/Global%20Server%20And%20Platform%20Operations/siops/Shared%20Documents/3%20-%20PROJECTS/S4%20HANA%20General%20docs/Hana%20System%20build%20docs/checklists/Hana%20Post%20Installation%20checks.docx?d=w2016fbd1a6074e9c8f370c15356053a8&amp;csf=1&amp;web=1&amp;e=c8XTPm" TargetMode="External"/><Relationship Id="rId77" Type="http://schemas.openxmlformats.org/officeDocument/2006/relationships/hyperlink" Target="../../../../../../:w:/r/sites/Global%20Server%20And%20Platform%20Operations/siops/Shared%20Documents/3%20-%20PROJECTS/S4%20HANA%20General%20docs/Hana%20System%20build%20docs/SCC4%20settings.docx?d=w0ba60b5d7bf64fce8db6c79954439567&amp;csf=1&amp;web=1&amp;e=S05e1A" TargetMode="External"/><Relationship Id="rId8" Type="http://schemas.openxmlformats.org/officeDocument/2006/relationships/hyperlink" Target="../../../../../../:p:/r/sites/Global%20Server%20And%20Platform%20Operations/siops/Shared%20Documents/4%20-%20DOCUMENTATION/Procedure/Linde%20SAP%20BASIS%20Operations%20Do%27s%20%26%20Don%27t.pptx?d=w65550fa9d7ed4c2b83a4c4a6155baf38&amp;csf=1&amp;web=1&amp;e=13rHb2" TargetMode="External"/><Relationship Id="rId51" Type="http://schemas.openxmlformats.org/officeDocument/2006/relationships/hyperlink" Target="../../../../../../../../../../../../../:w:/r/sites/Global%20Server%20And%20Platform%20Operations/siops/Shared%20Documents/3%20-%20PROJECTS/Solman%20activities/Wily%20upgrade%20ver1.0.docx?d=we84c79449bc642a08e70c41011773e75&amp;csf=1&amp;web=1&amp;e=Liv0rj" TargetMode="External"/><Relationship Id="rId72" Type="http://schemas.openxmlformats.org/officeDocument/2006/relationships/hyperlink" Target="../../../../../../:w:/r/sites/Global%20Server%20And%20Platform%20Operations/siops/Shared%20Documents/4%20-%20DOCUMENTATION/Procedure/myPAS/MyPAS%20SAP%20Basis%20password%20management.docx?d=w9108778cba6844c7ab31794f8748c628&amp;csf=1&amp;web=1&amp;e=jQuro7" TargetMode="External"/><Relationship Id="rId80" Type="http://schemas.openxmlformats.org/officeDocument/2006/relationships/hyperlink" Target="../../../../../../:w:/r/sites/Global%20Server%20And%20Platform%20Operations/siops/Shared%20Documents/3%20-%20PROJECTS/S4%20HANA%20General%20docs/Hana%20System%20build%20docs/How%20to%20update%20SAPLogon%20entries.docx?d=w566dd5589dff4b799f032e884ddd8899&amp;csf=1&amp;web=1&amp;e=uq62io" TargetMode="External"/><Relationship Id="rId85" Type="http://schemas.openxmlformats.org/officeDocument/2006/relationships/drawing" Target="../drawings/drawing4.xml"/><Relationship Id="rId3" Type="http://schemas.openxmlformats.org/officeDocument/2006/relationships/hyperlink" Target="../../../../../../../../../../../../../:w:/r/sites/Global%20Server%20And%20Platform%20Operations/siops/Shared%20Documents/4%20-%20DOCUMENTATION/Procedure/SOP%20Inc_Pro_Ser_Cha%20Operation%20Handling%20Process%20V4.1.docx?d=wcebbe173c1d44f9ab399f80b3e9529a4&amp;csf=1&amp;web=1&amp;e=yGFOAW" TargetMode="External"/><Relationship Id="rId12" Type="http://schemas.openxmlformats.org/officeDocument/2006/relationships/hyperlink" Target="../../../../../../../../../../../../../:w:/r/sites/Global%20Server%20And%20Platform%20Operations/siops/Shared%20Documents/3%20-%20PROJECTS/S4%20HANA%20RAF/S9A_S91%20%20TM0/Oracle_installation.docx?d=w0c0b98badfc3423d83f3fa9f5b86e4c3&amp;csf=1&amp;web=1&amp;e=m9PrVe" TargetMode="External"/><Relationship Id="rId17" Type="http://schemas.openxmlformats.org/officeDocument/2006/relationships/hyperlink" Target="../../../../../../../../../../../../../:w:/r/sites/Global%20Server%20And%20Platform%20Operations/siops/Shared%20Documents/2%20-%20OPERATIONS/ASE/ASE-SYSTEM_DB_SPACE-check/ASE%20Database%20space%20check.docx?d=we3e21bbbf60149569ee7f6cb5b857f36&amp;csf=1&amp;web=1&amp;e=YZI1HX" TargetMode="External"/><Relationship Id="rId25" Type="http://schemas.openxmlformats.org/officeDocument/2006/relationships/hyperlink" Target="../../../../../../../../../../../../../:w:/r/sites/Global%20Server%20And%20Platform%20Operations/siops/Shared%20Documents/2%20-%20OPERATIONS/Certificate%20Renewal%20Process/Linde%20Internal%20Certificate%20Renewal%20Process.docx?d=w8ba010f90e0944c4a5e33c553c298079&amp;csf=1&amp;web=1&amp;e=5KLNCZ" TargetMode="External"/><Relationship Id="rId33" Type="http://schemas.openxmlformats.org/officeDocument/2006/relationships/hyperlink" Target="../../../../../../../../../../../../../:w:/r/sites/Global%20Server%20And%20Platform%20Operations/siops/Shared%20Documents/3%20-%20PROJECTS/S4%20HANA%20General%20docs/Ariba%20Basis%20Tasks.docx?d=we31d9fb5f44a419b870fa97128c2486c&amp;csf=1&amp;web=1&amp;e=rMzS4v" TargetMode="External"/><Relationship Id="rId38" Type="http://schemas.openxmlformats.org/officeDocument/2006/relationships/hyperlink" Target="../../../../../../../../../../../../../:w:/r/sites/Global%20Server%20And%20Platform%20Operations/siops/Shared%20Documents/2%20-%20OPERATIONS/LCM/2023/Wave-1/SOP/Hana_LCM/MAI%20pause.docx?d=w342f05f7abfe4c88878d01de6c3b6a8f&amp;csf=1&amp;web=1&amp;e=4I51Ri" TargetMode="External"/><Relationship Id="rId46" Type="http://schemas.openxmlformats.org/officeDocument/2006/relationships/hyperlink" Target="../../../../../../../../../../../../../:w:/r/sites/Global%20Server%20And%20Platform%20Operations/siops/Shared%20Documents/3%20-%20PROJECTS/S4%20HANA%20RAF/How_to_docu/Saprouter%20configuration.docx?d=w2c04d93f499f4f1195baf99ebbba32c2&amp;csf=1&amp;web=1&amp;e=oiaMug" TargetMode="External"/><Relationship Id="rId59" Type="http://schemas.openxmlformats.org/officeDocument/2006/relationships/hyperlink" Target="../../../../../../../../../../../../../:w:/r/sites/Global%20Server%20And%20Platform%20Operations/siops/Shared%20Documents/2%20-%20OPERATIONS/St06.docx_final_version.docx?d=w751c6b5dbc0240bda5e15d0e8a306fb3&amp;csf=1&amp;web=1&amp;e=92CXTa" TargetMode="External"/><Relationship Id="rId67" Type="http://schemas.openxmlformats.org/officeDocument/2006/relationships/hyperlink" Target="../../../SitePages/Home.aspx?RootFolder=%2fsites%2fGlobal+Server+And+Platform+Operations%2fsiops%2fShared+Documents%2f4+-+DOCUMENTATION%2fProcedure%2fDisaster+Recovery%2fFCI+HANA&amp;FolderCTID=0x01200018A5862A3FF541449B36D2B745FF1936&amp;View=%7b46B893C3-9DD8-4694-BB59-C7E968A09D76%7d&amp;xsdata=MDV8MDJ8fGYzNmI2YjRlODk4YzQ5ZGZjNGY0MDhkZGIzOWRjZWZhfDE1NjJmMDA3MDlhNDRmY2I5MzZiZTc5MjQ2NTcxZmM3fDB8MHw2Mzg4NjQyMTI1MjAyNTY3NTZ8VW5rbm93bnxWR1ZoYlhOVFpXTjFjbWwwZVZObGNuWnBZMlY4ZXlKRFFTSTZJbFJsWVcxelgwRlVVRk5sY25acFkyVmZVMUJQVEU5R0lpd2lWaUk2SWpBdU1DNHdNREF3SWl3aVVDSTZJbGRwYmpNeUlpd2lRVTRpT2lKUGRHaGxjaUlzSWxkVUlqb3hNWDA9fDF8TDJOb1lYUnpMekU1T2pOaE16WTROR0k1TFRKbVpESXRORGRoTVMxaVkyVmtMVFZoT0RNM01qZzNZamsyWkY5aU5XWXpaVGxqTXkwMU1EZzJMVFE0WWpFdE9HUmtOeTA0WlRFeE4yRTNOMkU0TW1OQWRXNXhMbWRpYkM1emNHRmpaWE12YldWemMyRm5aWE12TVRjMU1EZ3lORFExTVRjeU9RPT18NjYxMzIyZmJkNDIxNDE0YWM0ZjQwOGRkYjM5ZGNlZmF8Mzk0ZDc5ZTQ2N2M2NGRiY2FkNjkyZTRhMDM4OTAzNzU%3d&amp;sdata=RzhmcUpiTGNkLyt3TlQwTUtqaTRLSUdSNjU3VXdNejkxcHZMR3hjdnBrbz0%3d&amp;ovuser=1562f007-09a4-4fcb-936b-e79246571fc7%2cin08f9%40linde.com&amp;OR=Teams-HL&amp;CT=1750824468130&amp;clickparams=eyJBcHBOYW1lIjoiVGVhbXMtRGVza3RvcCIsIkFwcFZlcnNpb24iOiI0OS8yNTA2MDIwNjYxNCIsIkhhc0ZlZGVyYXRlZFVzZXIiOmZhbHNlfQ%3d%3d&amp;SafelinksUrl=https%3a%2f%2flindegroup.sharepoint.com%2fsites%2fGlobal%2520Server%2520And%2520Platform%2520Operations%2fsiops%2fSitePages%2fHome.aspx" TargetMode="External"/><Relationship Id="rId20" Type="http://schemas.openxmlformats.org/officeDocument/2006/relationships/hyperlink" Target="../../../../../../../../../../../../../:x:/r/sites/Global%20Server%20And%20Platform%20Operations/siops/Shared%20Documents/2%20-%20OPERATIONS/System%20Monitoring/New%20Monitoring%20template/HANA/ECC_S4_Hana_Basic_monitoring_check_v2.xlsx?d=w174b7c0ae54a4460870f185b9b5380f6&amp;csf=1&amp;web=1&amp;e=HJvnyH" TargetMode="External"/><Relationship Id="rId41" Type="http://schemas.openxmlformats.org/officeDocument/2006/relationships/hyperlink" Target="../../../../../../../../../../../../../:w:/r/sites/Global%20Server%20And%20Platform%20Operations/siops/Shared%20Documents/4%20-%20DOCUMENTATION/Landscape/Knowledge%20Base/SPNEGO_ABAP_STACK_UPDATED.docx?d=w3cc80d471de94a35965dc00d0a002790&amp;csf=1&amp;web=1&amp;e=zIdz2W&amp;xsdata=MDV8MDJ8U2FudG9zaC5LdW1hckBsaW5kZS5jb218YThkNDM3YWEwYzIyNGFlZDk0ODQwOGRkN2NhOWI2NDd8MTU2MmYwMDcwOWE0NGZjYjkzNmJlNzkyNDY1NzFmYzd8MHwwfDYzODgwMzc5MDUzNTQ2NjU2NXxVbmtub3dufFRXRnBiR1pzYjNkOGV5SkZiWEIwZVUxaGNHa2lPblJ5ZFdVc0lsWWlPaUl3TGpBdU1EQXdNQ0lzSWxBaU9pSlhhVzR6TWlJc0lrRk9Jam9pVFdGcGJDSXNJbGRVSWpveWZRPT18MHx8fA%3d%3d&amp;sdata=NDNBOXpmQlpaYnFhTktmUnIyRTNzMll4TUpaY3JXTWxhaXQvRndGbHo3TT0%3d" TargetMode="External"/><Relationship Id="rId54" Type="http://schemas.openxmlformats.org/officeDocument/2006/relationships/hyperlink" Target="../../../../../../../../../../../../../:w:/r/sites/Global%20Server%20And%20Platform%20Operations/siops/Shared%20Documents/3%20-%20PROJECTS/Solman%20activities/Solman%20SP10%20upgrade/Solman%20upgrade.docx?d=weffb7f2f220c4d948e922b5577e616f2&amp;csf=1&amp;web=1&amp;e=FaRNA6" TargetMode="External"/><Relationship Id="rId62" Type="http://schemas.openxmlformats.org/officeDocument/2006/relationships/hyperlink" Target="../../../../../../:w:/r/sites/Global%20Server%20And%20Platform%20Operations/siops/Shared%20Documents/2%20-%20OPERATIONS/HANA/Veem%20backup/SOP%20for%20HANA%20backup%20and%20Restore/FCI-HANA-Restore%20-%20Latest.docx?d=w98c2ab9b0bc7479db448641c49c52bc1&amp;csf=1&amp;web=1&amp;e=H7uHJj" TargetMode="External"/><Relationship Id="rId70" Type="http://schemas.openxmlformats.org/officeDocument/2006/relationships/hyperlink" Target="../../../../../../:w:/r/sites/Global%20Server%20And%20Platform%20Operations/soldes/_layouts/15/Doc.aspx?sourcedoc=%7B27DB1BA3-6A47-4DBE-9ED6-5B424D45DE99%7D&amp;file=SAP%20Global%20Technical%20Maintenance%20SOP.docx&amp;action=default&amp;mobileredirect=true" TargetMode="External"/><Relationship Id="rId75" Type="http://schemas.openxmlformats.org/officeDocument/2006/relationships/hyperlink" Target="../../../../../../:w:/r/sites/Global%20Server%20And%20Platform%20Operations/siops/Shared%20Documents/3%20-%20PROJECTS/S4%20HANA%20General%20docs/Hana%20System%20build%20docs/AFL_SAP_SETUP.docx?d=we1b9514f3add46fc8b48939d5d5d6e5d&amp;csf=1&amp;web=1&amp;e=g1vC82" TargetMode="External"/><Relationship Id="rId83" Type="http://schemas.openxmlformats.org/officeDocument/2006/relationships/hyperlink" Target="../../../../../../../../../../../../../:w:/r/sites/Global%20Server%20And%20Platform%20Operations/siops/Shared%20Documents/1%20-%20ORG/GSPO%20Management%20Topics/Team%20transformation2024_25/TeamTransformation/SolutionDesign/ImplementingTechnicaldocuments/Document%20Format.docx?d=w8ec13ea3c0c7480986681f535d759634&amp;csf=1&amp;web=1&amp;e=xRbDUb" TargetMode="External"/><Relationship Id="rId1" Type="http://schemas.openxmlformats.org/officeDocument/2006/relationships/hyperlink" Target="../../../../../../../../../../../../../:l:/r/sites/Global%20Server%20And%20Platform%20Operations/siops/Lists/SAP%20SID%20List?e=gPgCb8" TargetMode="External"/><Relationship Id="rId6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KPIexpectations/KPI_Guidelines_V1.0.docx?d=w89f1c1ddb2244cffae72ede4295d3083&amp;csf=1&amp;web=1&amp;e=BnOxXZ" TargetMode="External"/><Relationship Id="rId15" Type="http://schemas.openxmlformats.org/officeDocument/2006/relationships/hyperlink" Target="../../../../../../../../../../../../../:w:/r/sites/Global%20Server%20And%20Platform%20Operations/siops/Shared%20Documents/4%20-%20DOCUMENTATION/documents/DB13%20Configuration.docx?d=w372155f4243b4659b64fa87101b41303&amp;csf=1&amp;web=1&amp;e=1Dl4hO" TargetMode="External"/><Relationship Id="rId23" Type="http://schemas.openxmlformats.org/officeDocument/2006/relationships/hyperlink" Target="../../../../../../../../../../../../../:w:/r/sites/Global%20Server%20And%20Platform%20Operations/siops/Shared%20Documents/3%20-%20PROJECTS/Portal/ADS/ADS_Configuration_in_NW7.5.docx?d=w141d1fa74e80420399732d618552fa63&amp;csf=1&amp;web=1&amp;e=CQsInO" TargetMode="External"/><Relationship Id="rId28" Type="http://schemas.openxmlformats.org/officeDocument/2006/relationships/hyperlink" Target="../../../../../../../../../../../../../:w:/r/sites/Global%20Server%20And%20Platform%20Operations/siops/Shared%20Documents/2%20-%20OPERATIONS/Web%20Dispatcher/Add%20SID%20to%20Webdispatcher.docx?d=w7f6cfea9088f4dd783bfbef080921457&amp;csf=1&amp;web=1&amp;e=Pajj0a" TargetMode="External"/><Relationship Id="rId36" Type="http://schemas.openxmlformats.org/officeDocument/2006/relationships/hyperlink" Target="../../Forms/WIDE.aspx?id=%2Fsites%2FGlobal%20Server%20And%20Platform%20Operations%2Fsiops%2FShared%20Documents%2F2%20%2D%20OPERATIONS%2FCloud%20Connector%2FUtsha%5FCloud&amp;viewid=8d381445%2D193a%2D4128%2D890b%2D36bf43ff9351" TargetMode="External"/><Relationship Id="rId49" Type="http://schemas.openxmlformats.org/officeDocument/2006/relationships/hyperlink" Target="../../../../../../../../../../../../../:x:/r/sites/Global%20Server%20And%20Platform%20Operations/siops/Shared%20Documents/5%20-%20OPS%20REPORTS/pacadm/pacadm.xlsb?d=w8d28936e8721414bb2b6e27b74dfbf5b&amp;csf=1&amp;web=1&amp;e=dRDgvm" TargetMode="External"/><Relationship Id="rId57" Type="http://schemas.openxmlformats.org/officeDocument/2006/relationships/hyperlink" Target="../../../../../../../../../../../../../:w:/r/sites/Global%20Server%20And%20Platform%20Operations/siops/Shared%20Documents/2%20-%20OPERATIONS/vncserver/Configtool_VNC_procoess.docx?d=w4dba88472f9d41ed90a738af09d2f97b&amp;csf=1&amp;web=1&amp;e=KjYDYq" TargetMode="External"/><Relationship Id="rId10" Type="http://schemas.openxmlformats.org/officeDocument/2006/relationships/hyperlink" Target="../../../../../../../../../../../../../:x:/r/sites/Global%20Server%20And%20Platform%20Operations/siops/Shared%20Documents/2%20-%20OPERATIONS/System%20Refresh/Refresh%20Document%20Template/Runbook_SID_Refresh-TEMPLATE.xlsx?d=w527dbf15d8a945eea86d303425a75782&amp;csf=1&amp;web=1&amp;e=C99Psv" TargetMode="External"/><Relationship Id="rId31" Type="http://schemas.openxmlformats.org/officeDocument/2006/relationships/hyperlink" Target="../../../../../../../../../../../../../:w:/r/sites/Global%20Server%20And%20Platform%20Operations/siops/Shared%20Documents/3%20-%20PROJECTS/Malaga/Supporting%20Documents/Mass%20job%20change.docx?d=w8227198820724f09b09a3e9cea0e65a5&amp;csf=1&amp;web=1&amp;e=LqV9kY" TargetMode="External"/><Relationship Id="rId44" Type="http://schemas.openxmlformats.org/officeDocument/2006/relationships/hyperlink" Target="../../../../../../../../../../../../../:p:/r/sites/Global%20Server%20And%20Platform%20Operations/siops/Shared%20Documents/2%20-%20OPERATIONS/HANA/HANA%20Issue/hdbconnectivity%20issue.pptm?d=wc0c099a21d52444f964ec116337bd685&amp;csf=1&amp;web=1&amp;e=lUXgOj" TargetMode="External"/><Relationship Id="rId52" Type="http://schemas.openxmlformats.org/officeDocument/2006/relationships/hyperlink" Target="../../../../../../:p:/r/sites/Global%20Server%20And%20Platform%20Operations/siops/Shared%20Documents/4%20-%20DOCUMENTATION/documents/FCI_vFaaS_to_pFaaS_Migration/TSI_vFaaS_pFaaS.pptx?d=w2b12622fb0ac467a9184e44c7bb1034d&amp;csf=1&amp;web=1&amp;e=PHKcC7" TargetMode="External"/><Relationship Id="rId60" Type="http://schemas.openxmlformats.org/officeDocument/2006/relationships/hyperlink" Target="../../../../../../:w:/r/sites/Global%20Server%20And%20Platform%20Operations/siops/Shared%20Documents/2%20-%20OPERATIONS/Tablespace%20analysis/Table%20Space_Analysis.docx?d=w6f633b6f6aac40388d1e29f88542a44d&amp;csf=1&amp;web=1&amp;e=cjbHp1" TargetMode="External"/><Relationship Id="rId65" Type="http://schemas.openxmlformats.org/officeDocument/2006/relationships/hyperlink" Target="../../../../../../../../../../../../../:w:/r/sites/Global%20Server%20And%20Platform%20Operations/siops/Shared%20Documents/4%20-%20DOCUMENTATION/SOP/SOP%20HANA%20DB%20admin%20users.docx?d=w3218c92dfd6940058221064ec54389af&amp;csf=1&amp;web=1&amp;e=PRtxNH" TargetMode="External"/><Relationship Id="rId73" Type="http://schemas.openxmlformats.org/officeDocument/2006/relationships/hyperlink" Target="../../../../../../:w:/r/sites/Global%20Server%20And%20Platform%20Operations/siops/Shared%20Documents/3%20-%20PROJECTS/S4%20HANA%20General%20docs/Hana%20System%20build%20docs/Interface%20setup%20doc/BTP_FIORI/FIORI_BTP%20seutp.docx?d=wa88631ae022d4aeb8e6d0248cb24eb73&amp;csf=1&amp;web=1&amp;e=ddIBM1" TargetMode="External"/><Relationship Id="rId78" Type="http://schemas.openxmlformats.org/officeDocument/2006/relationships/hyperlink" Target="../../../../../../:w:/r/sites/Global%20Server%20And%20Platform%20Operations/siops/Shared%20Documents/3%20-%20PROJECTS/S4%20HANA%20General%20docs/Hana%20System%20build%20docs/scripting%20parameter.docx?d=w66f3c202b8304c50ac3941fa79050ed0&amp;csf=1&amp;web=1&amp;e=19f0P8" TargetMode="External"/><Relationship Id="rId81" Type="http://schemas.openxmlformats.org/officeDocument/2006/relationships/hyperlink" Target="https://lincipvg3100.edc.linde.grp:44331/ui2/nwbc/?sap-client=100&amp;sap-language=EN&amp;sap-nwbc-node=root&amp;sap-theme=sap_corbu" TargetMode="External"/><Relationship Id="rId4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Communication%20Guidelines/Communication_BestPractice_V1.0.docx?d=w74c2828c6fb44f08b28dada92198dde7&amp;csf=1&amp;web=1&amp;e=NgQiMP" TargetMode="External"/><Relationship Id="rId9" Type="http://schemas.openxmlformats.org/officeDocument/2006/relationships/hyperlink" Target="../../../../../../:p:/r/sites/Global%20Server%20And%20Platform%20Operations/siops/Shared%20Documents/4%20-%20DOCUMENTATION/Procedure/Linde%20SAP%20BASIS%20Security%20Guidelines%20GSPO%20Basis.pptx?d=w2e5a3ba360324e848d975fb5cec90746&amp;csf=1&amp;web=1&amp;e=UJa4br" TargetMode="External"/><Relationship Id="rId13" Type="http://schemas.openxmlformats.org/officeDocument/2006/relationships/hyperlink" Target="../../../../../../../../../../../../../:w:/r/sites/Global%20Server%20And%20Platform%20Operations/siops/Shared%20Documents/3%20-%20PROJECTS/S4%20HANA%20General%20docs/Hana%20System%20build%20docs/S4%20HANA%20system%20Installation%20document%20for%20S4%20Project%20sytems.docx?d=w059aa74847b34c2fa4fde7480978cfb9&amp;csf=1&amp;web=1&amp;e=qcqVdA" TargetMode="External"/><Relationship Id="rId18" Type="http://schemas.openxmlformats.org/officeDocument/2006/relationships/hyperlink" Target="../../../../../../:w:/r/sites/Global%20Server%20And%20Platform%20Operations/siops/Shared%20Documents/2%20-%20OPERATIONS/Linde%20SNC_SSO_implementation.docx?d=w6fd46b25a6cd4b45851a1fa1c98560b9&amp;csf=1&amp;web=1&amp;e=MxjBBo" TargetMode="External"/><Relationship Id="rId39" Type="http://schemas.openxmlformats.org/officeDocument/2006/relationships/hyperlink" Target="../../../../../../../../../../../../../:w:/r/sites/Global%20Server%20And%20Platform%20Operations/siops/Shared%20Documents/2%20-%20OPERATIONS/ASE/Issue%20Capture%20%26%20Findings/ASE_Issues/JS_Agent_error_sapsa_locked.docx?d=w3709e6bc7d3b4e84bb14302ec9bbaf7d&amp;csf=1&amp;web=1&amp;e=17MorD" TargetMode="External"/><Relationship Id="rId34" Type="http://schemas.openxmlformats.org/officeDocument/2006/relationships/hyperlink" Target="../../../../../../../../../../../../../:w:/r/sites/Global%20Server%20And%20Platform%20Operations/siops/Shared%20Documents/3%20-%20PROJECTS/S4%20HANA%20General%20docs/Hana%20System%20build%20docs/Configure%20SAP%20standard%20jobs%20via%20SJOBREPO.docx?d=wd5bcfa269af64e4c934d1e44554e8015&amp;csf=1&amp;web=1&amp;e=2RoAIy" TargetMode="External"/><Relationship Id="rId50" Type="http://schemas.openxmlformats.org/officeDocument/2006/relationships/hyperlink" Target="../../../../../../../../../../../../../:w:/r/sites/Global%20Server%20And%20Platform%20Operations/siops/Shared%20Documents/3%20-%20PROJECTS/Solman%20activities/EWA%20configuration.docx?d=w87de3bcf872d489298a8b3b7ded4193c&amp;csf=1&amp;web=1&amp;e=2gR6eo" TargetMode="External"/><Relationship Id="rId55" Type="http://schemas.openxmlformats.org/officeDocument/2006/relationships/hyperlink" Target="../../../../../../../../../../../../../:w:/r/sites/Global%20Server%20And%20Platform%20Operations/siops/Shared%20Documents/4%20-%20DOCUMENTATION/documents/S4%20HANA%20General%20docs/Hana%20System%20build%20docs/SWU3_activation.docx?d=w74ea4fc7f4cf406e9ab318c1c7c682eb&amp;csf=1&amp;web=1&amp;e=yNUHqP" TargetMode="External"/><Relationship Id="rId76" Type="http://schemas.openxmlformats.org/officeDocument/2006/relationships/hyperlink" Target="../../../../../../:w:/r/sites/Global%20Server%20And%20Platform%20Operations/siops/Shared%20Documents/3%20-%20PROJECTS/S4%20HANA%20General%20docs/Hana%20System%20build%20docs/STRUST%20and%20License%20.docx?d=w4c9729191b44415490f57800f894ef53&amp;csf=1&amp;web=1&amp;e=t0yld9" TargetMode="External"/><Relationship Id="rId7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Roles%20Definition%20SOP/LO_TO_Responsibility_v1.0.docx?d=w6de3220cbec54dc1a3f6280fda1b702f&amp;csf=1&amp;web=1&amp;e=R9xDYZ" TargetMode="External"/><Relationship Id="rId71" Type="http://schemas.openxmlformats.org/officeDocument/2006/relationships/hyperlink" Target="../../../../../../:w:/r/sites/Global%20Server%20And%20Platform%20Operations/siops/Shared%20Documents/2%20-%20OPERATIONS/LCM/2026/Wave-1/SOP/SCC4_SE06_Checks.docx?d=wa115ac7598c8484eaafc610352405c02&amp;csf=1&amp;web=1&amp;e=JJ7fbY" TargetMode="External"/><Relationship Id="rId2" Type="http://schemas.openxmlformats.org/officeDocument/2006/relationships/hyperlink" Target="../../../../../../:w:/r/sites/Global%20Server%20And%20Platform%20Operations/siops/Shared%20Documents/4%20-%20DOCUMENTATION/Procedure/SOP%20Inc_Pro_Ser_Cha%20Operation%20Handling%20Process.docx?d=wcebbe173c1d44f9ab399f80b3e9529a4&amp;csf=1&amp;web=1&amp;e=HHgMe7" TargetMode="External"/><Relationship Id="rId29" Type="http://schemas.openxmlformats.org/officeDocument/2006/relationships/hyperlink" Target="../../../../../../../../../../../../../:w:/r/sites/Global%20Server%20And%20Platform%20Operations/siops/Shared%20Documents/2%20-%20OPERATIONS/TGE%20Client%20Refresh/Steps_for%20Client_Copy.docx?d=w6aa61a6f273945c79e0e4188e327b64e&amp;csf=1&amp;web=1&amp;e=fXPpWe" TargetMode="External"/><Relationship Id="rId24" Type="http://schemas.openxmlformats.org/officeDocument/2006/relationships/hyperlink" Target="../../../../../../../../../../../../../:w:/r/sites/Global%20Server%20And%20Platform%20Operations/siops/Shared%20Documents/3%20-%20PROJECTS/Azure%20Cloud/Cloud-Azure/Migration/Netweaver%207.5%20-%20Azure.docx?d=w8e0d0b039fdb42caa60507866c985a04&amp;csf=1&amp;web=1&amp;e=ej5LUx" TargetMode="External"/><Relationship Id="rId40" Type="http://schemas.openxmlformats.org/officeDocument/2006/relationships/hyperlink" Target="../../../../../../../../../../../../../:w:/r/sites/Global%20Server%20And%20Platform%20Operations/siops/Shared%20Documents/2%20-%20OPERATIONS/System%20Refresh/Refresh%20Document%20Template/SOAMANAGE%20FIX.docx?d=we416566d2f5c4068ac6c285db32903b1&amp;csf=1&amp;web=1&amp;e=PzzF6Q" TargetMode="External"/><Relationship Id="rId45" Type="http://schemas.openxmlformats.org/officeDocument/2006/relationships/hyperlink" Target="../../../SitePages/Home.aspx?RootFolder=%2Fsites%2FGlobal%20Server%20And%20Platform%20Operations%2Fsiops%2FShared%20Documents%2F3%20%2D%20PROJECTS%2FNetapp%20Migration%2F02%20Development%20Phase%2FHana%20Stream%2FRestore%20and%20Recovery&amp;FolderCTID=0x01200018A5862A3FF541449B36D2B745FF1936&amp;View=%7B46B893C3%2D9DD8%2D4694%2DBB59%2DC7E968A09D76%7D" TargetMode="External"/><Relationship Id="rId66" Type="http://schemas.openxmlformats.org/officeDocument/2006/relationships/hyperlink" Target="../../../SitePages/Home.aspx?RootFolder=%2Fsites%2FGlobal%20Server%20And%20Platform%20Operations%2Fsiops%2FShared%20Documents%2F2%20%2D%20OPERATIONS%2FLCM%2FSOP&amp;FolderCTID=0x01200018A5862A3FF541449B36D2B745FF1936&amp;View=%7B46B893C3%2D9DD8%2D4694%2DBB59%2DC7E968A09D76%7D" TargetMode="External"/><Relationship Id="rId61" Type="http://schemas.openxmlformats.org/officeDocument/2006/relationships/hyperlink" Target="../../../../../../../../../../../../../:w:/r/sites/Global%20Server%20And%20Platform%20Operations/siops/_layouts/15/Doc.aspx?sourcedoc=%7BB220328F-DB70-4B1A-BA6A-21BFAE5F9E4B%7D&amp;file=SLT_setup_DRG.docx&amp;action=default&amp;mobileredirect=true" TargetMode="External"/><Relationship Id="rId82" Type="http://schemas.openxmlformats.org/officeDocument/2006/relationships/hyperlink" Target="../../../../../../:w:/r/sites/Global%20Server%20And%20Platform%20Operations/siops/Shared%20Documents/2%20-%20OPERATIONS/HANA%20Hardening/HANA%20SSL%20final%20documents/HANA%20DB%20Security%20HardeningV3.0_final.docx?d=wf1d8de863c4947d596f537c434e847ad&amp;csf=1&amp;web=1&amp;e=m90h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7F4C-7861-4780-89FE-03A7E13090C2}">
  <dimension ref="A2:B24"/>
  <sheetViews>
    <sheetView workbookViewId="0">
      <selection activeCell="B24" sqref="B24"/>
    </sheetView>
  </sheetViews>
  <sheetFormatPr defaultRowHeight="15" x14ac:dyDescent="0.25"/>
  <cols>
    <col min="1" max="1" width="5.42578125" customWidth="1"/>
    <col min="2" max="2" width="159.5703125" customWidth="1"/>
  </cols>
  <sheetData>
    <row r="2" spans="1:2" ht="19.5" x14ac:dyDescent="0.3">
      <c r="A2" s="38">
        <v>1</v>
      </c>
      <c r="B2" s="39" t="s">
        <v>0</v>
      </c>
    </row>
    <row r="3" spans="1:2" ht="19.5" x14ac:dyDescent="0.3">
      <c r="A3" s="38">
        <v>2</v>
      </c>
      <c r="B3" s="39" t="s">
        <v>1</v>
      </c>
    </row>
    <row r="4" spans="1:2" ht="19.5" x14ac:dyDescent="0.3">
      <c r="A4" s="38">
        <v>3</v>
      </c>
      <c r="B4" s="39" t="s">
        <v>2</v>
      </c>
    </row>
    <row r="5" spans="1:2" ht="19.5" x14ac:dyDescent="0.3">
      <c r="A5" s="38">
        <v>4</v>
      </c>
      <c r="B5" s="39" t="s">
        <v>3</v>
      </c>
    </row>
    <row r="6" spans="1:2" ht="19.5" x14ac:dyDescent="0.3">
      <c r="A6" s="38">
        <v>5</v>
      </c>
      <c r="B6" s="39" t="s">
        <v>4</v>
      </c>
    </row>
    <row r="7" spans="1:2" ht="19.5" x14ac:dyDescent="0.3">
      <c r="A7" s="38">
        <v>6</v>
      </c>
      <c r="B7" s="39" t="s">
        <v>5</v>
      </c>
    </row>
    <row r="8" spans="1:2" ht="19.5" x14ac:dyDescent="0.3">
      <c r="A8" s="38">
        <v>7</v>
      </c>
      <c r="B8" s="39" t="s">
        <v>6</v>
      </c>
    </row>
    <row r="9" spans="1:2" ht="19.5" x14ac:dyDescent="0.3">
      <c r="A9" s="38">
        <v>8</v>
      </c>
      <c r="B9" s="39" t="s">
        <v>7</v>
      </c>
    </row>
    <row r="10" spans="1:2" ht="19.5" x14ac:dyDescent="0.3">
      <c r="A10" s="38">
        <v>9</v>
      </c>
      <c r="B10" s="39" t="s">
        <v>8</v>
      </c>
    </row>
    <row r="11" spans="1:2" ht="19.5" x14ac:dyDescent="0.3">
      <c r="A11" s="38">
        <v>10</v>
      </c>
      <c r="B11" s="39"/>
    </row>
    <row r="12" spans="1:2" ht="19.5" x14ac:dyDescent="0.3">
      <c r="A12" s="38">
        <v>11</v>
      </c>
      <c r="B12" s="39"/>
    </row>
    <row r="13" spans="1:2" ht="19.5" x14ac:dyDescent="0.3">
      <c r="A13" s="38">
        <v>12</v>
      </c>
      <c r="B13" s="39"/>
    </row>
    <row r="14" spans="1:2" ht="19.5" x14ac:dyDescent="0.3">
      <c r="A14" s="38">
        <v>13</v>
      </c>
      <c r="B14" s="39"/>
    </row>
    <row r="15" spans="1:2" ht="19.5" x14ac:dyDescent="0.3">
      <c r="A15" s="38">
        <v>14</v>
      </c>
      <c r="B15" s="39"/>
    </row>
    <row r="16" spans="1:2" ht="19.5" x14ac:dyDescent="0.3">
      <c r="A16" s="38">
        <v>15</v>
      </c>
      <c r="B16" s="39"/>
    </row>
    <row r="17" spans="1:2" ht="19.5" x14ac:dyDescent="0.3">
      <c r="A17" s="38">
        <v>16</v>
      </c>
      <c r="B17" s="39"/>
    </row>
    <row r="18" spans="1:2" ht="19.5" x14ac:dyDescent="0.3">
      <c r="A18" s="38">
        <v>17</v>
      </c>
      <c r="B18" s="39"/>
    </row>
    <row r="19" spans="1:2" ht="19.5" x14ac:dyDescent="0.3">
      <c r="A19" s="38">
        <v>18</v>
      </c>
      <c r="B19" s="39"/>
    </row>
    <row r="20" spans="1:2" ht="19.5" x14ac:dyDescent="0.3">
      <c r="A20" s="38">
        <v>19</v>
      </c>
      <c r="B20" s="39"/>
    </row>
    <row r="21" spans="1:2" ht="19.5" x14ac:dyDescent="0.3">
      <c r="A21" s="38">
        <v>20</v>
      </c>
      <c r="B21" s="39"/>
    </row>
    <row r="22" spans="1:2" ht="19.5" x14ac:dyDescent="0.3">
      <c r="A22" s="38">
        <v>21</v>
      </c>
      <c r="B22" s="39"/>
    </row>
    <row r="23" spans="1:2" x14ac:dyDescent="0.25">
      <c r="B23" s="101" t="s">
        <v>9</v>
      </c>
    </row>
    <row r="24" spans="1:2" x14ac:dyDescent="0.25">
      <c r="B24" s="25" t="s">
        <v>10</v>
      </c>
    </row>
  </sheetData>
  <hyperlinks>
    <hyperlink ref="B24" r:id="rId1" xr:uid="{3D97CC58-5F01-4AB0-AEEB-7D581F90D1F9}"/>
  </hyperlink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B75A-519F-4291-92E4-A594FDE6EB36}">
  <dimension ref="A2:LE106"/>
  <sheetViews>
    <sheetView tabSelected="1" zoomScale="88" zoomScaleNormal="88" workbookViewId="0">
      <pane ySplit="9" topLeftCell="A10" activePane="bottomLeft" state="frozen"/>
      <selection pane="bottomLeft" activeCell="G13" sqref="G11:G13"/>
    </sheetView>
  </sheetViews>
  <sheetFormatPr defaultColWidth="8.7109375" defaultRowHeight="15" x14ac:dyDescent="0.25"/>
  <cols>
    <col min="1" max="1" width="7.5703125" style="13" bestFit="1" customWidth="1"/>
    <col min="2" max="2" width="51.5703125" style="13" customWidth="1"/>
    <col min="3" max="3" width="19.7109375" style="13" customWidth="1"/>
    <col min="4" max="4" width="13.42578125" style="13" bestFit="1" customWidth="1"/>
    <col min="5" max="5" width="13.140625" style="13" customWidth="1"/>
    <col min="6" max="6" width="26.5703125" style="13" bestFit="1" customWidth="1"/>
    <col min="7" max="7" width="11.5703125" style="13" bestFit="1" customWidth="1"/>
    <col min="8" max="8" width="12.5703125" style="13" bestFit="1" customWidth="1"/>
    <col min="9" max="9" width="13.42578125" style="13" bestFit="1" customWidth="1"/>
    <col min="10" max="10" width="9.85546875" style="13" bestFit="1" customWidth="1"/>
    <col min="11" max="12" width="8.7109375" style="13"/>
    <col min="13" max="13" width="12" style="13" bestFit="1" customWidth="1"/>
    <col min="14" max="16384" width="8.7109375" style="13"/>
  </cols>
  <sheetData>
    <row r="2" spans="1:18" x14ac:dyDescent="0.25">
      <c r="B2" s="112"/>
      <c r="C2" s="113"/>
      <c r="D2" s="113"/>
      <c r="E2" s="57"/>
      <c r="F2" s="57"/>
      <c r="G2" s="57"/>
      <c r="I2" s="44"/>
    </row>
    <row r="3" spans="1:18" ht="27.95" customHeight="1" x14ac:dyDescent="0.25">
      <c r="B3" s="112"/>
      <c r="C3" s="114"/>
      <c r="D3" s="114"/>
      <c r="E3" s="58"/>
      <c r="F3" s="58"/>
      <c r="G3" s="58"/>
      <c r="I3" s="44"/>
    </row>
    <row r="4" spans="1:18" x14ac:dyDescent="0.25">
      <c r="B4" s="112"/>
      <c r="C4" s="18"/>
      <c r="D4" s="19"/>
      <c r="E4" s="19"/>
      <c r="F4" s="19"/>
      <c r="G4" s="19"/>
      <c r="I4" s="44"/>
    </row>
    <row r="5" spans="1:18" x14ac:dyDescent="0.25">
      <c r="I5" s="44"/>
    </row>
    <row r="6" spans="1:18" s="29" customFormat="1" x14ac:dyDescent="0.25">
      <c r="A6" s="13"/>
      <c r="B6" s="13"/>
      <c r="C6" s="13"/>
      <c r="D6" s="13"/>
      <c r="E6" s="13"/>
      <c r="F6" s="13"/>
      <c r="G6" s="13"/>
      <c r="H6" s="13"/>
      <c r="I6" s="44"/>
      <c r="J6" s="13"/>
      <c r="K6" s="13"/>
      <c r="L6" s="13"/>
      <c r="M6" s="13"/>
      <c r="N6" s="13"/>
      <c r="O6" s="13"/>
      <c r="P6" s="13"/>
      <c r="Q6" s="13"/>
      <c r="R6" s="13"/>
    </row>
    <row r="7" spans="1:18" ht="22.5" customHeight="1" thickBot="1" x14ac:dyDescent="0.3">
      <c r="B7" s="23" t="s">
        <v>11</v>
      </c>
      <c r="I7" s="44"/>
    </row>
    <row r="8" spans="1:18" ht="15.95" customHeight="1" thickBot="1" x14ac:dyDescent="0.3">
      <c r="D8" s="40" t="s">
        <v>12</v>
      </c>
      <c r="E8" s="43"/>
      <c r="F8" s="43"/>
      <c r="G8" s="43"/>
      <c r="H8" s="115">
        <v>2026</v>
      </c>
      <c r="I8" s="116"/>
    </row>
    <row r="9" spans="1:18" s="16" customFormat="1" ht="63.75" thickBot="1" x14ac:dyDescent="0.3">
      <c r="A9" s="54" t="s">
        <v>13</v>
      </c>
      <c r="B9" s="54" t="s">
        <v>14</v>
      </c>
      <c r="C9" s="55" t="s">
        <v>15</v>
      </c>
      <c r="D9" s="54" t="s">
        <v>16</v>
      </c>
      <c r="E9" s="55" t="s">
        <v>17</v>
      </c>
      <c r="F9" s="54" t="s">
        <v>18</v>
      </c>
      <c r="G9" s="54" t="s">
        <v>19</v>
      </c>
      <c r="H9" s="76" t="s">
        <v>20</v>
      </c>
      <c r="I9" s="56" t="s">
        <v>21</v>
      </c>
    </row>
    <row r="10" spans="1:18" s="16" customFormat="1" ht="20.25" x14ac:dyDescent="0.25">
      <c r="A10" s="33"/>
      <c r="B10" s="34" t="s">
        <v>22</v>
      </c>
      <c r="C10" s="35"/>
      <c r="D10" s="35"/>
      <c r="E10" s="35"/>
      <c r="F10" s="35"/>
      <c r="G10" s="35"/>
      <c r="H10" s="77"/>
      <c r="I10" s="49"/>
    </row>
    <row r="11" spans="1:18" x14ac:dyDescent="0.25">
      <c r="A11" s="36">
        <v>1</v>
      </c>
      <c r="B11" s="14" t="s">
        <v>23</v>
      </c>
      <c r="C11" s="25" t="s">
        <v>10</v>
      </c>
      <c r="D11" s="14" t="s">
        <v>24</v>
      </c>
      <c r="E11" s="53">
        <v>365</v>
      </c>
      <c r="F11" s="47" t="s">
        <v>25</v>
      </c>
      <c r="G11" s="47" t="s">
        <v>26</v>
      </c>
      <c r="H11" s="46">
        <v>46157</v>
      </c>
      <c r="I11" s="46">
        <f t="shared" ref="I11:I17" si="0">H11+E11</f>
        <v>46522</v>
      </c>
      <c r="J11" s="50"/>
      <c r="M11" s="44"/>
      <c r="O11" s="44"/>
      <c r="P11" s="44"/>
      <c r="Q11" s="44"/>
      <c r="R11" s="44"/>
    </row>
    <row r="12" spans="1:18" x14ac:dyDescent="0.25">
      <c r="A12" s="36">
        <v>2</v>
      </c>
      <c r="B12" s="14" t="s">
        <v>27</v>
      </c>
      <c r="C12" s="25" t="s">
        <v>10</v>
      </c>
      <c r="D12" s="14" t="s">
        <v>28</v>
      </c>
      <c r="E12" s="53">
        <f>365/4</f>
        <v>91.25</v>
      </c>
      <c r="F12" s="47" t="s">
        <v>25</v>
      </c>
      <c r="G12" s="47" t="s">
        <v>26</v>
      </c>
      <c r="H12" s="30">
        <v>43993</v>
      </c>
      <c r="I12" s="46">
        <f>H12+E12</f>
        <v>44084.25</v>
      </c>
    </row>
    <row r="13" spans="1:18" x14ac:dyDescent="0.25">
      <c r="A13" s="36">
        <v>3</v>
      </c>
      <c r="B13" s="14" t="s">
        <v>29</v>
      </c>
      <c r="C13" s="25" t="s">
        <v>10</v>
      </c>
      <c r="D13" s="14" t="s">
        <v>30</v>
      </c>
      <c r="E13" s="53">
        <v>365</v>
      </c>
      <c r="F13" s="47" t="s">
        <v>25</v>
      </c>
      <c r="G13" s="47" t="s">
        <v>26</v>
      </c>
      <c r="H13" s="30">
        <v>46164</v>
      </c>
      <c r="I13" s="46">
        <f t="shared" si="0"/>
        <v>46529</v>
      </c>
      <c r="J13" s="50"/>
      <c r="M13" s="52"/>
    </row>
    <row r="14" spans="1:18" x14ac:dyDescent="0.25">
      <c r="A14" s="36">
        <v>4</v>
      </c>
      <c r="B14" s="14" t="s">
        <v>31</v>
      </c>
      <c r="C14" s="25" t="s">
        <v>10</v>
      </c>
      <c r="D14" s="14" t="s">
        <v>32</v>
      </c>
      <c r="E14" s="53">
        <v>365</v>
      </c>
      <c r="F14" s="47" t="s">
        <v>25</v>
      </c>
      <c r="G14" s="47" t="s">
        <v>26</v>
      </c>
      <c r="H14" s="30">
        <v>46157</v>
      </c>
      <c r="I14" s="46">
        <f t="shared" si="0"/>
        <v>46522</v>
      </c>
    </row>
    <row r="15" spans="1:18" x14ac:dyDescent="0.25">
      <c r="A15" s="36">
        <v>5</v>
      </c>
      <c r="B15" s="14" t="s">
        <v>33</v>
      </c>
      <c r="C15" s="25" t="s">
        <v>10</v>
      </c>
      <c r="D15" s="14" t="s">
        <v>34</v>
      </c>
      <c r="E15" s="53">
        <v>365</v>
      </c>
      <c r="F15" s="47" t="s">
        <v>25</v>
      </c>
      <c r="G15" s="47" t="s">
        <v>26</v>
      </c>
      <c r="H15" s="30">
        <v>46157</v>
      </c>
      <c r="I15" s="46">
        <f t="shared" si="0"/>
        <v>46522</v>
      </c>
    </row>
    <row r="16" spans="1:18" x14ac:dyDescent="0.25">
      <c r="A16" s="36">
        <v>6</v>
      </c>
      <c r="B16" s="14" t="s">
        <v>35</v>
      </c>
      <c r="C16" s="25" t="s">
        <v>10</v>
      </c>
      <c r="D16" s="14" t="s">
        <v>36</v>
      </c>
      <c r="E16" s="53">
        <v>365</v>
      </c>
      <c r="F16" s="47" t="s">
        <v>25</v>
      </c>
      <c r="G16" s="47" t="s">
        <v>26</v>
      </c>
      <c r="H16" s="30">
        <v>46164</v>
      </c>
      <c r="I16" s="46">
        <f t="shared" si="0"/>
        <v>46529</v>
      </c>
      <c r="J16" s="50"/>
      <c r="M16" s="52"/>
    </row>
    <row r="17" spans="1:9" x14ac:dyDescent="0.25">
      <c r="A17" s="36">
        <v>7</v>
      </c>
      <c r="B17" s="14" t="s">
        <v>37</v>
      </c>
      <c r="C17" s="25" t="s">
        <v>10</v>
      </c>
      <c r="D17" s="14" t="s">
        <v>34</v>
      </c>
      <c r="E17" s="53">
        <f>365/4</f>
        <v>91.25</v>
      </c>
      <c r="F17" s="47" t="s">
        <v>25</v>
      </c>
      <c r="G17" s="47" t="s">
        <v>26</v>
      </c>
      <c r="H17" s="30">
        <v>46164</v>
      </c>
      <c r="I17" s="46">
        <f t="shared" si="0"/>
        <v>46255.25</v>
      </c>
    </row>
    <row r="18" spans="1:9" x14ac:dyDescent="0.25">
      <c r="A18" s="36">
        <v>8</v>
      </c>
      <c r="B18" s="14" t="s">
        <v>38</v>
      </c>
      <c r="C18" s="25" t="s">
        <v>10</v>
      </c>
      <c r="D18" s="14" t="s">
        <v>39</v>
      </c>
      <c r="E18" s="53">
        <v>60</v>
      </c>
      <c r="F18" s="47" t="s">
        <v>25</v>
      </c>
      <c r="G18" s="47" t="s">
        <v>26</v>
      </c>
      <c r="H18" s="46">
        <v>46216</v>
      </c>
      <c r="I18" s="46">
        <f>H18+E18</f>
        <v>46276</v>
      </c>
    </row>
    <row r="19" spans="1:9" ht="20.25" x14ac:dyDescent="0.25">
      <c r="A19" s="36"/>
      <c r="B19" s="32" t="s">
        <v>40</v>
      </c>
      <c r="C19" s="25"/>
      <c r="D19" s="14"/>
      <c r="E19" s="53"/>
      <c r="F19" s="14"/>
      <c r="G19" s="14"/>
      <c r="H19" s="15"/>
    </row>
    <row r="20" spans="1:9" x14ac:dyDescent="0.25">
      <c r="A20" s="36">
        <v>1</v>
      </c>
      <c r="B20" s="14" t="s">
        <v>41</v>
      </c>
      <c r="C20" s="25" t="s">
        <v>10</v>
      </c>
      <c r="D20" s="14" t="s">
        <v>42</v>
      </c>
      <c r="E20" s="60">
        <f>365/2</f>
        <v>182.5</v>
      </c>
      <c r="F20" s="47" t="s">
        <v>43</v>
      </c>
      <c r="G20" s="47" t="s">
        <v>26</v>
      </c>
      <c r="H20" s="30">
        <v>46171</v>
      </c>
      <c r="I20" s="46">
        <f t="shared" ref="I20" si="1">H20+E20</f>
        <v>46353.5</v>
      </c>
    </row>
    <row r="21" spans="1:9" x14ac:dyDescent="0.25">
      <c r="A21" s="36">
        <v>2</v>
      </c>
      <c r="B21" s="14" t="s">
        <v>44</v>
      </c>
      <c r="C21" s="25" t="s">
        <v>10</v>
      </c>
      <c r="D21" s="14" t="s">
        <v>34</v>
      </c>
      <c r="E21" s="53">
        <f>365/2</f>
        <v>182.5</v>
      </c>
      <c r="F21" s="47" t="s">
        <v>43</v>
      </c>
      <c r="G21" s="14" t="s">
        <v>45</v>
      </c>
      <c r="H21" s="30">
        <v>46234</v>
      </c>
      <c r="I21" s="46">
        <f>H21+E21</f>
        <v>46416.5</v>
      </c>
    </row>
    <row r="22" spans="1:9" x14ac:dyDescent="0.25">
      <c r="A22" s="36">
        <v>3</v>
      </c>
      <c r="B22" s="14" t="s">
        <v>46</v>
      </c>
      <c r="C22" s="25" t="s">
        <v>10</v>
      </c>
      <c r="D22" s="14" t="s">
        <v>42</v>
      </c>
      <c r="E22" s="53">
        <f>365/2</f>
        <v>182.5</v>
      </c>
      <c r="F22" s="47" t="s">
        <v>43</v>
      </c>
      <c r="G22" s="47" t="s">
        <v>26</v>
      </c>
      <c r="H22" s="30">
        <v>46171</v>
      </c>
      <c r="I22" s="46">
        <f t="shared" ref="I22" si="2">H22+E22</f>
        <v>46353.5</v>
      </c>
    </row>
    <row r="23" spans="1:9" x14ac:dyDescent="0.25">
      <c r="A23" s="36">
        <v>4</v>
      </c>
      <c r="B23" s="14" t="s">
        <v>47</v>
      </c>
      <c r="C23" s="25" t="s">
        <v>10</v>
      </c>
      <c r="D23" s="14" t="s">
        <v>24</v>
      </c>
      <c r="E23" s="53">
        <v>60</v>
      </c>
      <c r="F23" s="14" t="s">
        <v>25</v>
      </c>
      <c r="G23" s="14" t="s">
        <v>26</v>
      </c>
      <c r="H23" s="30">
        <v>46217</v>
      </c>
      <c r="I23" s="46">
        <f>H23+E23</f>
        <v>46277</v>
      </c>
    </row>
    <row r="24" spans="1:9" x14ac:dyDescent="0.25">
      <c r="A24" s="36">
        <v>5</v>
      </c>
      <c r="B24" s="14" t="s">
        <v>48</v>
      </c>
      <c r="C24" s="25" t="s">
        <v>10</v>
      </c>
      <c r="D24" s="14" t="s">
        <v>30</v>
      </c>
      <c r="E24" s="53">
        <v>60</v>
      </c>
      <c r="F24" s="14" t="s">
        <v>25</v>
      </c>
      <c r="G24" s="14" t="s">
        <v>26</v>
      </c>
      <c r="H24" s="30">
        <v>46192</v>
      </c>
      <c r="I24" s="46">
        <f>H24+E24</f>
        <v>46252</v>
      </c>
    </row>
    <row r="25" spans="1:9" x14ac:dyDescent="0.25">
      <c r="A25" s="36">
        <v>6</v>
      </c>
      <c r="B25" s="14" t="s">
        <v>49</v>
      </c>
      <c r="C25" s="25" t="s">
        <v>10</v>
      </c>
      <c r="D25" s="14" t="s">
        <v>50</v>
      </c>
      <c r="E25" s="53">
        <f>365/2</f>
        <v>182.5</v>
      </c>
      <c r="F25" s="14" t="s">
        <v>43</v>
      </c>
      <c r="G25" s="14" t="s">
        <v>26</v>
      </c>
      <c r="H25" s="30">
        <v>46164</v>
      </c>
      <c r="I25" s="46">
        <f>H25+E25</f>
        <v>46346.5</v>
      </c>
    </row>
    <row r="26" spans="1:9" x14ac:dyDescent="0.25">
      <c r="A26" s="36">
        <v>7</v>
      </c>
      <c r="B26" s="14" t="s">
        <v>51</v>
      </c>
      <c r="C26" s="25" t="s">
        <v>10</v>
      </c>
      <c r="D26" s="14" t="s">
        <v>52</v>
      </c>
      <c r="E26" s="53">
        <v>365</v>
      </c>
      <c r="F26" s="14" t="s">
        <v>43</v>
      </c>
      <c r="G26" s="14" t="s">
        <v>26</v>
      </c>
      <c r="H26" s="30">
        <v>46160</v>
      </c>
      <c r="I26" s="46">
        <f t="shared" ref="I26" si="3">H26+E26</f>
        <v>46525</v>
      </c>
    </row>
    <row r="27" spans="1:9" x14ac:dyDescent="0.25">
      <c r="A27" s="36">
        <v>8</v>
      </c>
      <c r="B27" s="14" t="s">
        <v>53</v>
      </c>
      <c r="C27" s="25" t="s">
        <v>10</v>
      </c>
      <c r="D27" s="14" t="s">
        <v>42</v>
      </c>
      <c r="E27" s="53">
        <f>365/2</f>
        <v>182.5</v>
      </c>
      <c r="F27" s="14" t="s">
        <v>25</v>
      </c>
      <c r="G27" s="14" t="s">
        <v>26</v>
      </c>
      <c r="H27" s="30">
        <v>46171</v>
      </c>
      <c r="I27" s="46">
        <f t="shared" ref="I27:I28" si="4">H27+E27</f>
        <v>46353.5</v>
      </c>
    </row>
    <row r="28" spans="1:9" x14ac:dyDescent="0.25">
      <c r="A28" s="36">
        <v>9</v>
      </c>
      <c r="B28" s="14" t="s">
        <v>54</v>
      </c>
      <c r="C28" s="25" t="s">
        <v>10</v>
      </c>
      <c r="D28" s="14" t="s">
        <v>55</v>
      </c>
      <c r="E28" s="53">
        <v>365</v>
      </c>
      <c r="F28" s="14" t="s">
        <v>25</v>
      </c>
      <c r="G28" s="14" t="s">
        <v>26</v>
      </c>
      <c r="H28" s="30">
        <v>46171</v>
      </c>
      <c r="I28" s="46">
        <f t="shared" si="4"/>
        <v>46536</v>
      </c>
    </row>
    <row r="29" spans="1:9" x14ac:dyDescent="0.25">
      <c r="A29" s="36">
        <v>10</v>
      </c>
      <c r="B29" s="14" t="s">
        <v>56</v>
      </c>
      <c r="C29" s="25" t="s">
        <v>10</v>
      </c>
      <c r="D29" s="14" t="s">
        <v>42</v>
      </c>
      <c r="E29" s="53">
        <f t="shared" ref="E29:E40" si="5">365/2</f>
        <v>182.5</v>
      </c>
      <c r="F29" s="14" t="s">
        <v>43</v>
      </c>
      <c r="G29" s="14" t="s">
        <v>26</v>
      </c>
      <c r="H29" s="30">
        <v>46171</v>
      </c>
      <c r="I29" s="46">
        <f t="shared" ref="I29" si="6">H29+E29</f>
        <v>46353.5</v>
      </c>
    </row>
    <row r="30" spans="1:9" x14ac:dyDescent="0.25">
      <c r="A30" s="36">
        <v>11</v>
      </c>
      <c r="B30" s="14" t="s">
        <v>57</v>
      </c>
      <c r="C30" s="25" t="s">
        <v>10</v>
      </c>
      <c r="D30" s="14" t="s">
        <v>55</v>
      </c>
      <c r="E30" s="53">
        <f t="shared" si="5"/>
        <v>182.5</v>
      </c>
      <c r="F30" s="14" t="s">
        <v>43</v>
      </c>
      <c r="G30" s="14" t="s">
        <v>26</v>
      </c>
      <c r="H30" s="30">
        <v>46171</v>
      </c>
      <c r="I30" s="46">
        <f t="shared" ref="I30:I46" si="7">H30+E30</f>
        <v>46353.5</v>
      </c>
    </row>
    <row r="31" spans="1:9" x14ac:dyDescent="0.25">
      <c r="A31" s="36">
        <v>12</v>
      </c>
      <c r="B31" s="14" t="s">
        <v>58</v>
      </c>
      <c r="C31" s="25" t="s">
        <v>10</v>
      </c>
      <c r="D31" s="14" t="s">
        <v>30</v>
      </c>
      <c r="E31" s="53">
        <f t="shared" si="5"/>
        <v>182.5</v>
      </c>
      <c r="F31" s="14" t="s">
        <v>43</v>
      </c>
      <c r="G31" s="14" t="s">
        <v>26</v>
      </c>
      <c r="H31" s="30">
        <v>46148</v>
      </c>
      <c r="I31" s="46">
        <f>H31+E31</f>
        <v>46330.5</v>
      </c>
    </row>
    <row r="32" spans="1:9" x14ac:dyDescent="0.25">
      <c r="A32" s="36">
        <v>13</v>
      </c>
      <c r="B32" s="14" t="s">
        <v>59</v>
      </c>
      <c r="C32" s="25" t="s">
        <v>10</v>
      </c>
      <c r="D32" s="14" t="s">
        <v>42</v>
      </c>
      <c r="E32" s="53">
        <f t="shared" si="5"/>
        <v>182.5</v>
      </c>
      <c r="F32" s="14" t="s">
        <v>43</v>
      </c>
      <c r="G32" s="14" t="s">
        <v>26</v>
      </c>
      <c r="H32" s="30">
        <v>46171</v>
      </c>
      <c r="I32" s="46">
        <f t="shared" si="7"/>
        <v>46353.5</v>
      </c>
    </row>
    <row r="33" spans="1:9" x14ac:dyDescent="0.25">
      <c r="A33" s="36">
        <v>14</v>
      </c>
      <c r="B33" s="14" t="s">
        <v>60</v>
      </c>
      <c r="C33" s="25" t="s">
        <v>10</v>
      </c>
      <c r="D33" s="14" t="s">
        <v>61</v>
      </c>
      <c r="E33" s="53">
        <f t="shared" si="5"/>
        <v>182.5</v>
      </c>
      <c r="F33" s="14" t="s">
        <v>43</v>
      </c>
      <c r="G33" s="14" t="s">
        <v>26</v>
      </c>
      <c r="H33" s="30">
        <v>46171</v>
      </c>
      <c r="I33" s="46">
        <f t="shared" si="7"/>
        <v>46353.5</v>
      </c>
    </row>
    <row r="34" spans="1:9" x14ac:dyDescent="0.25">
      <c r="A34" s="36">
        <v>15</v>
      </c>
      <c r="B34" s="14" t="s">
        <v>62</v>
      </c>
      <c r="C34" s="25" t="s">
        <v>10</v>
      </c>
      <c r="D34" s="14" t="s">
        <v>63</v>
      </c>
      <c r="E34" s="53">
        <f t="shared" si="5"/>
        <v>182.5</v>
      </c>
      <c r="F34" s="14" t="s">
        <v>25</v>
      </c>
      <c r="G34" s="14" t="s">
        <v>26</v>
      </c>
      <c r="H34" s="30">
        <v>46164</v>
      </c>
      <c r="I34" s="46">
        <f t="shared" si="7"/>
        <v>46346.5</v>
      </c>
    </row>
    <row r="35" spans="1:9" x14ac:dyDescent="0.25">
      <c r="A35" s="36">
        <v>16</v>
      </c>
      <c r="B35" s="14" t="s">
        <v>64</v>
      </c>
      <c r="C35" s="25" t="s">
        <v>10</v>
      </c>
      <c r="D35" s="14" t="s">
        <v>63</v>
      </c>
      <c r="E35" s="53">
        <f t="shared" si="5"/>
        <v>182.5</v>
      </c>
      <c r="F35" s="14" t="s">
        <v>25</v>
      </c>
      <c r="G35" s="14" t="s">
        <v>26</v>
      </c>
      <c r="H35" s="30">
        <v>46164</v>
      </c>
      <c r="I35" s="46">
        <f t="shared" si="7"/>
        <v>46346.5</v>
      </c>
    </row>
    <row r="36" spans="1:9" x14ac:dyDescent="0.25">
      <c r="A36" s="36">
        <v>17</v>
      </c>
      <c r="B36" s="14" t="s">
        <v>65</v>
      </c>
      <c r="C36" s="25" t="s">
        <v>10</v>
      </c>
      <c r="D36" s="14" t="s">
        <v>63</v>
      </c>
      <c r="E36" s="53">
        <f t="shared" si="5"/>
        <v>182.5</v>
      </c>
      <c r="F36" s="14" t="s">
        <v>25</v>
      </c>
      <c r="G36" s="14" t="s">
        <v>26</v>
      </c>
      <c r="H36" s="30">
        <v>46164</v>
      </c>
      <c r="I36" s="46">
        <f t="shared" si="7"/>
        <v>46346.5</v>
      </c>
    </row>
    <row r="37" spans="1:9" x14ac:dyDescent="0.25">
      <c r="A37" s="36">
        <v>18</v>
      </c>
      <c r="B37" s="14" t="s">
        <v>66</v>
      </c>
      <c r="C37" s="25" t="s">
        <v>10</v>
      </c>
      <c r="D37" s="14" t="s">
        <v>36</v>
      </c>
      <c r="E37" s="53">
        <f t="shared" si="5"/>
        <v>182.5</v>
      </c>
      <c r="F37" s="14" t="s">
        <v>43</v>
      </c>
      <c r="G37" s="14" t="s">
        <v>26</v>
      </c>
      <c r="H37" s="30">
        <v>46164</v>
      </c>
      <c r="I37" s="46">
        <f t="shared" si="7"/>
        <v>46346.5</v>
      </c>
    </row>
    <row r="38" spans="1:9" x14ac:dyDescent="0.25">
      <c r="A38" s="36">
        <v>19</v>
      </c>
      <c r="B38" s="14" t="s">
        <v>67</v>
      </c>
      <c r="C38" s="25" t="s">
        <v>10</v>
      </c>
      <c r="D38" s="14" t="s">
        <v>32</v>
      </c>
      <c r="E38" s="53">
        <f t="shared" si="5"/>
        <v>182.5</v>
      </c>
      <c r="F38" s="14" t="s">
        <v>43</v>
      </c>
      <c r="G38" s="14" t="s">
        <v>26</v>
      </c>
      <c r="H38" s="30">
        <v>46171</v>
      </c>
      <c r="I38" s="46">
        <f t="shared" si="7"/>
        <v>46353.5</v>
      </c>
    </row>
    <row r="39" spans="1:9" x14ac:dyDescent="0.25">
      <c r="A39" s="36">
        <v>20</v>
      </c>
      <c r="B39" s="14" t="s">
        <v>68</v>
      </c>
      <c r="C39" s="25" t="s">
        <v>10</v>
      </c>
      <c r="D39" s="14" t="s">
        <v>61</v>
      </c>
      <c r="E39" s="53">
        <f t="shared" si="5"/>
        <v>182.5</v>
      </c>
      <c r="F39" s="14" t="s">
        <v>25</v>
      </c>
      <c r="G39" s="14" t="s">
        <v>26</v>
      </c>
      <c r="H39" s="30">
        <v>46171</v>
      </c>
      <c r="I39" s="46">
        <f t="shared" si="7"/>
        <v>46353.5</v>
      </c>
    </row>
    <row r="40" spans="1:9" x14ac:dyDescent="0.25">
      <c r="A40" s="36">
        <v>21</v>
      </c>
      <c r="B40" s="14" t="s">
        <v>69</v>
      </c>
      <c r="C40" s="25" t="s">
        <v>10</v>
      </c>
      <c r="D40" s="14" t="s">
        <v>70</v>
      </c>
      <c r="E40" s="53">
        <f t="shared" si="5"/>
        <v>182.5</v>
      </c>
      <c r="F40" s="14" t="s">
        <v>25</v>
      </c>
      <c r="G40" s="14" t="s">
        <v>26</v>
      </c>
      <c r="H40" s="30">
        <v>46171</v>
      </c>
      <c r="I40" s="46">
        <f t="shared" si="7"/>
        <v>46353.5</v>
      </c>
    </row>
    <row r="41" spans="1:9" x14ac:dyDescent="0.25">
      <c r="A41" s="36">
        <v>22</v>
      </c>
      <c r="B41" s="14" t="s">
        <v>71</v>
      </c>
      <c r="C41" s="25" t="s">
        <v>10</v>
      </c>
      <c r="D41" s="14" t="s">
        <v>50</v>
      </c>
      <c r="E41" s="53">
        <v>365</v>
      </c>
      <c r="F41" s="14" t="s">
        <v>43</v>
      </c>
      <c r="G41" s="14" t="s">
        <v>26</v>
      </c>
      <c r="H41" s="30">
        <v>46157</v>
      </c>
      <c r="I41" s="46">
        <f t="shared" si="7"/>
        <v>46522</v>
      </c>
    </row>
    <row r="42" spans="1:9" x14ac:dyDescent="0.25">
      <c r="A42" s="36">
        <v>23</v>
      </c>
      <c r="B42" s="14" t="s">
        <v>72</v>
      </c>
      <c r="C42" s="31" t="s">
        <v>10</v>
      </c>
      <c r="D42" s="14" t="s">
        <v>73</v>
      </c>
      <c r="E42" s="53">
        <f>365/2</f>
        <v>182.5</v>
      </c>
      <c r="F42" s="14" t="s">
        <v>25</v>
      </c>
      <c r="G42" s="14" t="s">
        <v>26</v>
      </c>
      <c r="H42" s="30">
        <v>46213</v>
      </c>
      <c r="I42" s="46">
        <f t="shared" si="7"/>
        <v>46395.5</v>
      </c>
    </row>
    <row r="43" spans="1:9" x14ac:dyDescent="0.25">
      <c r="A43" s="36">
        <v>24</v>
      </c>
      <c r="B43" s="14" t="s">
        <v>74</v>
      </c>
      <c r="C43" s="25" t="s">
        <v>10</v>
      </c>
      <c r="D43" s="14" t="s">
        <v>75</v>
      </c>
      <c r="E43" s="53">
        <f>365/2</f>
        <v>182.5</v>
      </c>
      <c r="F43" s="14" t="s">
        <v>43</v>
      </c>
      <c r="G43" s="14" t="s">
        <v>26</v>
      </c>
      <c r="H43" s="30">
        <v>46164</v>
      </c>
      <c r="I43" s="46">
        <f t="shared" si="7"/>
        <v>46346.5</v>
      </c>
    </row>
    <row r="44" spans="1:9" x14ac:dyDescent="0.25">
      <c r="A44" s="36">
        <v>25</v>
      </c>
      <c r="B44" s="14" t="s">
        <v>76</v>
      </c>
      <c r="C44" s="25" t="s">
        <v>10</v>
      </c>
      <c r="D44" s="14" t="s">
        <v>30</v>
      </c>
      <c r="E44" s="53">
        <v>365</v>
      </c>
      <c r="F44" s="14" t="s">
        <v>43</v>
      </c>
      <c r="G44" s="14" t="s">
        <v>26</v>
      </c>
      <c r="H44" s="30">
        <v>46164</v>
      </c>
      <c r="I44" s="46">
        <f t="shared" si="7"/>
        <v>46529</v>
      </c>
    </row>
    <row r="45" spans="1:9" x14ac:dyDescent="0.25">
      <c r="A45" s="36">
        <v>26</v>
      </c>
      <c r="B45" s="14" t="s">
        <v>77</v>
      </c>
      <c r="C45" s="31" t="s">
        <v>10</v>
      </c>
      <c r="D45" s="14" t="s">
        <v>61</v>
      </c>
      <c r="E45" s="53">
        <v>365</v>
      </c>
      <c r="F45" s="14" t="s">
        <v>43</v>
      </c>
      <c r="G45" s="14" t="s">
        <v>26</v>
      </c>
      <c r="H45" s="30">
        <v>46164</v>
      </c>
      <c r="I45" s="46">
        <f t="shared" si="7"/>
        <v>46529</v>
      </c>
    </row>
    <row r="46" spans="1:9" x14ac:dyDescent="0.25">
      <c r="A46" s="36">
        <v>27</v>
      </c>
      <c r="B46" s="14" t="s">
        <v>78</v>
      </c>
      <c r="C46" s="25" t="s">
        <v>10</v>
      </c>
      <c r="D46" s="14" t="s">
        <v>42</v>
      </c>
      <c r="E46" s="53">
        <v>365</v>
      </c>
      <c r="F46" s="14" t="s">
        <v>43</v>
      </c>
      <c r="G46" s="14" t="s">
        <v>26</v>
      </c>
      <c r="H46" s="30">
        <v>46171</v>
      </c>
      <c r="I46" s="46">
        <f t="shared" si="7"/>
        <v>46536</v>
      </c>
    </row>
    <row r="47" spans="1:9" x14ac:dyDescent="0.25">
      <c r="A47" s="36">
        <v>28</v>
      </c>
      <c r="B47" s="14" t="s">
        <v>79</v>
      </c>
      <c r="C47" s="25" t="s">
        <v>10</v>
      </c>
      <c r="D47" s="14" t="s">
        <v>63</v>
      </c>
      <c r="E47" s="53">
        <v>365</v>
      </c>
      <c r="F47" s="14" t="s">
        <v>25</v>
      </c>
      <c r="G47" s="14" t="s">
        <v>26</v>
      </c>
      <c r="H47" s="30">
        <v>46171</v>
      </c>
      <c r="I47" s="46">
        <f t="shared" ref="I47:I56" si="8">H47+E47</f>
        <v>46536</v>
      </c>
    </row>
    <row r="48" spans="1:9" x14ac:dyDescent="0.25">
      <c r="A48" s="36">
        <v>29</v>
      </c>
      <c r="B48" s="14" t="s">
        <v>80</v>
      </c>
      <c r="C48" s="25" t="s">
        <v>10</v>
      </c>
      <c r="D48" s="14" t="s">
        <v>81</v>
      </c>
      <c r="E48" s="53">
        <f>365/2</f>
        <v>182.5</v>
      </c>
      <c r="F48" s="14" t="s">
        <v>25</v>
      </c>
      <c r="G48" s="14" t="s">
        <v>26</v>
      </c>
      <c r="H48" s="30">
        <v>46157</v>
      </c>
      <c r="I48" s="46">
        <f t="shared" si="8"/>
        <v>46339.5</v>
      </c>
    </row>
    <row r="49" spans="1:9" x14ac:dyDescent="0.25">
      <c r="A49" s="36">
        <v>30</v>
      </c>
      <c r="B49" s="14" t="s">
        <v>82</v>
      </c>
      <c r="C49" s="25" t="s">
        <v>10</v>
      </c>
      <c r="D49" s="14" t="s">
        <v>83</v>
      </c>
      <c r="E49" s="53">
        <f>365/2</f>
        <v>182.5</v>
      </c>
      <c r="F49" s="14" t="s">
        <v>25</v>
      </c>
      <c r="G49" s="14" t="s">
        <v>26</v>
      </c>
      <c r="H49" s="30">
        <v>46164</v>
      </c>
      <c r="I49" s="46">
        <f t="shared" si="8"/>
        <v>46346.5</v>
      </c>
    </row>
    <row r="50" spans="1:9" x14ac:dyDescent="0.25">
      <c r="A50" s="36">
        <v>31</v>
      </c>
      <c r="B50" s="14" t="s">
        <v>84</v>
      </c>
      <c r="C50" s="25" t="s">
        <v>10</v>
      </c>
      <c r="D50" s="14" t="s">
        <v>73</v>
      </c>
      <c r="E50" s="53">
        <f>365/2</f>
        <v>182.5</v>
      </c>
      <c r="F50" s="14" t="s">
        <v>25</v>
      </c>
      <c r="G50" s="14" t="s">
        <v>26</v>
      </c>
      <c r="H50" s="30">
        <v>46167</v>
      </c>
      <c r="I50" s="46">
        <f t="shared" si="8"/>
        <v>46349.5</v>
      </c>
    </row>
    <row r="51" spans="1:9" x14ac:dyDescent="0.25">
      <c r="A51" s="36">
        <v>32</v>
      </c>
      <c r="B51" s="14" t="s">
        <v>85</v>
      </c>
      <c r="C51" s="25" t="s">
        <v>10</v>
      </c>
      <c r="D51" s="14" t="s">
        <v>83</v>
      </c>
      <c r="E51" s="53">
        <f>365/2</f>
        <v>182.5</v>
      </c>
      <c r="F51" s="14" t="s">
        <v>25</v>
      </c>
      <c r="G51" s="14" t="s">
        <v>26</v>
      </c>
      <c r="H51" s="30">
        <v>46185</v>
      </c>
      <c r="I51" s="46">
        <f t="shared" si="8"/>
        <v>46367.5</v>
      </c>
    </row>
    <row r="52" spans="1:9" x14ac:dyDescent="0.25">
      <c r="A52" s="36">
        <v>33</v>
      </c>
      <c r="B52" s="14" t="s">
        <v>86</v>
      </c>
      <c r="C52" s="25" t="s">
        <v>10</v>
      </c>
      <c r="D52" s="14" t="s">
        <v>36</v>
      </c>
      <c r="E52" s="53">
        <f>365/2</f>
        <v>182.5</v>
      </c>
      <c r="F52" s="14" t="s">
        <v>25</v>
      </c>
      <c r="G52" s="14" t="s">
        <v>26</v>
      </c>
      <c r="H52" s="30">
        <v>46164</v>
      </c>
      <c r="I52" s="46">
        <f t="shared" si="8"/>
        <v>46346.5</v>
      </c>
    </row>
    <row r="53" spans="1:9" x14ac:dyDescent="0.25">
      <c r="A53" s="36">
        <v>34</v>
      </c>
      <c r="B53" s="14" t="s">
        <v>87</v>
      </c>
      <c r="C53" s="25" t="s">
        <v>10</v>
      </c>
      <c r="D53" s="14" t="s">
        <v>50</v>
      </c>
      <c r="E53" s="53">
        <v>365</v>
      </c>
      <c r="F53" s="14" t="s">
        <v>25</v>
      </c>
      <c r="G53" s="14" t="s">
        <v>26</v>
      </c>
      <c r="H53" s="30">
        <v>46164</v>
      </c>
      <c r="I53" s="46">
        <f t="shared" si="8"/>
        <v>46529</v>
      </c>
    </row>
    <row r="54" spans="1:9" x14ac:dyDescent="0.25">
      <c r="A54" s="36">
        <v>35</v>
      </c>
      <c r="B54" s="14" t="s">
        <v>88</v>
      </c>
      <c r="C54" s="31" t="s">
        <v>10</v>
      </c>
      <c r="D54" s="14" t="s">
        <v>75</v>
      </c>
      <c r="E54" s="53">
        <v>365</v>
      </c>
      <c r="F54" s="14" t="s">
        <v>43</v>
      </c>
      <c r="G54" s="14" t="s">
        <v>26</v>
      </c>
      <c r="H54" s="30">
        <v>46164</v>
      </c>
      <c r="I54" s="46">
        <f t="shared" si="8"/>
        <v>46529</v>
      </c>
    </row>
    <row r="55" spans="1:9" x14ac:dyDescent="0.25">
      <c r="A55" s="36">
        <v>36</v>
      </c>
      <c r="B55" s="14" t="s">
        <v>89</v>
      </c>
      <c r="C55" s="25" t="s">
        <v>10</v>
      </c>
      <c r="D55" s="14" t="s">
        <v>63</v>
      </c>
      <c r="E55" s="53">
        <f>365/4</f>
        <v>91.25</v>
      </c>
      <c r="F55" s="14" t="s">
        <v>25</v>
      </c>
      <c r="G55" s="14" t="s">
        <v>26</v>
      </c>
      <c r="H55" s="46">
        <v>46164</v>
      </c>
      <c r="I55" s="46">
        <f t="shared" si="8"/>
        <v>46255.25</v>
      </c>
    </row>
    <row r="56" spans="1:9" x14ac:dyDescent="0.25">
      <c r="A56" s="36">
        <v>37</v>
      </c>
      <c r="B56" s="14" t="s">
        <v>90</v>
      </c>
      <c r="C56" s="25" t="s">
        <v>10</v>
      </c>
      <c r="D56" s="14" t="s">
        <v>91</v>
      </c>
      <c r="E56" s="53">
        <v>365</v>
      </c>
      <c r="F56" s="14" t="s">
        <v>25</v>
      </c>
      <c r="G56" s="14" t="s">
        <v>26</v>
      </c>
      <c r="H56" s="30">
        <v>46156</v>
      </c>
      <c r="I56" s="46">
        <f t="shared" si="8"/>
        <v>46521</v>
      </c>
    </row>
    <row r="57" spans="1:9" x14ac:dyDescent="0.25">
      <c r="A57" s="36">
        <v>38</v>
      </c>
      <c r="B57" s="14" t="s">
        <v>92</v>
      </c>
      <c r="C57" s="25" t="s">
        <v>10</v>
      </c>
      <c r="D57" s="14" t="s">
        <v>55</v>
      </c>
      <c r="E57" s="53">
        <f>365/2</f>
        <v>182.5</v>
      </c>
      <c r="F57" s="14" t="s">
        <v>25</v>
      </c>
      <c r="G57" s="14" t="s">
        <v>26</v>
      </c>
      <c r="H57" s="30">
        <v>46171</v>
      </c>
      <c r="I57" s="46">
        <f t="shared" ref="I57" si="9">H57+E57</f>
        <v>46353.5</v>
      </c>
    </row>
    <row r="58" spans="1:9" x14ac:dyDescent="0.25">
      <c r="A58" s="36">
        <v>39</v>
      </c>
      <c r="B58" s="14" t="s">
        <v>93</v>
      </c>
      <c r="C58" s="31" t="s">
        <v>10</v>
      </c>
      <c r="D58" s="14" t="s">
        <v>30</v>
      </c>
      <c r="E58" s="53">
        <v>365</v>
      </c>
      <c r="F58" s="14" t="s">
        <v>25</v>
      </c>
      <c r="G58" s="14" t="s">
        <v>26</v>
      </c>
      <c r="H58" s="30">
        <v>46164</v>
      </c>
      <c r="I58" s="46">
        <f>H58+E58</f>
        <v>46529</v>
      </c>
    </row>
    <row r="59" spans="1:9" x14ac:dyDescent="0.25">
      <c r="A59" s="36">
        <v>40</v>
      </c>
      <c r="B59" s="14" t="s">
        <v>94</v>
      </c>
      <c r="C59" s="25" t="s">
        <v>10</v>
      </c>
      <c r="D59" s="14" t="s">
        <v>32</v>
      </c>
      <c r="E59" s="53">
        <f>365/2</f>
        <v>182.5</v>
      </c>
      <c r="F59" s="14" t="s">
        <v>25</v>
      </c>
      <c r="G59" s="47" t="s">
        <v>26</v>
      </c>
      <c r="H59" s="30">
        <v>46164</v>
      </c>
      <c r="I59" s="46">
        <f>H59+E59</f>
        <v>46346.5</v>
      </c>
    </row>
    <row r="60" spans="1:9" x14ac:dyDescent="0.25">
      <c r="A60" s="36">
        <v>41</v>
      </c>
      <c r="B60" s="14" t="s">
        <v>95</v>
      </c>
      <c r="C60" s="25" t="s">
        <v>10</v>
      </c>
      <c r="D60" s="14" t="s">
        <v>75</v>
      </c>
      <c r="E60" s="53">
        <v>365</v>
      </c>
      <c r="F60" s="14" t="s">
        <v>43</v>
      </c>
      <c r="G60" s="14" t="s">
        <v>26</v>
      </c>
      <c r="H60" s="30">
        <v>46164</v>
      </c>
      <c r="I60" s="46">
        <f t="shared" ref="I60:I66" si="10">H60+E60</f>
        <v>46529</v>
      </c>
    </row>
    <row r="61" spans="1:9" x14ac:dyDescent="0.25">
      <c r="A61" s="36">
        <v>42</v>
      </c>
      <c r="B61" s="14" t="s">
        <v>96</v>
      </c>
      <c r="C61" s="25" t="s">
        <v>10</v>
      </c>
      <c r="D61" s="14" t="s">
        <v>97</v>
      </c>
      <c r="E61" s="53">
        <v>365</v>
      </c>
      <c r="F61" s="14" t="s">
        <v>43</v>
      </c>
      <c r="G61" s="14" t="s">
        <v>26</v>
      </c>
      <c r="H61" s="30">
        <v>46150</v>
      </c>
      <c r="I61" s="46">
        <f t="shared" si="10"/>
        <v>46515</v>
      </c>
    </row>
    <row r="62" spans="1:9" x14ac:dyDescent="0.25">
      <c r="A62" s="36">
        <v>43</v>
      </c>
      <c r="B62" s="14" t="s">
        <v>98</v>
      </c>
      <c r="C62" s="25" t="s">
        <v>10</v>
      </c>
      <c r="D62" s="14" t="s">
        <v>34</v>
      </c>
      <c r="E62" s="53">
        <f t="shared" ref="E62:E68" si="11">365/2</f>
        <v>182.5</v>
      </c>
      <c r="F62" s="14" t="s">
        <v>25</v>
      </c>
      <c r="G62" s="14" t="s">
        <v>26</v>
      </c>
      <c r="H62" s="30">
        <v>46164</v>
      </c>
      <c r="I62" s="46">
        <f t="shared" si="10"/>
        <v>46346.5</v>
      </c>
    </row>
    <row r="63" spans="1:9" x14ac:dyDescent="0.25">
      <c r="A63" s="36">
        <v>44</v>
      </c>
      <c r="B63" s="14" t="s">
        <v>99</v>
      </c>
      <c r="C63" s="25" t="s">
        <v>10</v>
      </c>
      <c r="D63" s="14" t="s">
        <v>75</v>
      </c>
      <c r="E63" s="53">
        <f t="shared" si="11"/>
        <v>182.5</v>
      </c>
      <c r="F63" s="14" t="s">
        <v>25</v>
      </c>
      <c r="G63" s="14" t="s">
        <v>26</v>
      </c>
      <c r="H63" s="30">
        <v>46164</v>
      </c>
      <c r="I63" s="46">
        <f t="shared" si="10"/>
        <v>46346.5</v>
      </c>
    </row>
    <row r="64" spans="1:9" x14ac:dyDescent="0.25">
      <c r="A64" s="36">
        <v>45</v>
      </c>
      <c r="B64" s="14" t="s">
        <v>100</v>
      </c>
      <c r="C64" s="25" t="s">
        <v>10</v>
      </c>
      <c r="D64" s="14" t="s">
        <v>50</v>
      </c>
      <c r="E64" s="53">
        <f t="shared" si="11"/>
        <v>182.5</v>
      </c>
      <c r="F64" s="14" t="s">
        <v>25</v>
      </c>
      <c r="G64" s="14" t="s">
        <v>26</v>
      </c>
      <c r="H64" s="30">
        <v>46164</v>
      </c>
      <c r="I64" s="46">
        <f t="shared" si="10"/>
        <v>46346.5</v>
      </c>
    </row>
    <row r="65" spans="1:317" x14ac:dyDescent="0.25">
      <c r="A65" s="36">
        <v>46</v>
      </c>
      <c r="B65" s="14" t="s">
        <v>101</v>
      </c>
      <c r="C65" s="25" t="s">
        <v>10</v>
      </c>
      <c r="D65" s="14" t="s">
        <v>70</v>
      </c>
      <c r="E65" s="53">
        <f t="shared" si="11"/>
        <v>182.5</v>
      </c>
      <c r="F65" s="14" t="s">
        <v>25</v>
      </c>
      <c r="G65" s="14" t="s">
        <v>26</v>
      </c>
      <c r="H65" s="30">
        <v>46164</v>
      </c>
      <c r="I65" s="46">
        <f t="shared" si="10"/>
        <v>46346.5</v>
      </c>
    </row>
    <row r="66" spans="1:317" x14ac:dyDescent="0.25">
      <c r="A66" s="36">
        <v>47</v>
      </c>
      <c r="B66" s="14" t="s">
        <v>102</v>
      </c>
      <c r="C66" s="25" t="s">
        <v>10</v>
      </c>
      <c r="D66" s="14" t="s">
        <v>55</v>
      </c>
      <c r="E66" s="53">
        <f t="shared" si="11"/>
        <v>182.5</v>
      </c>
      <c r="F66" s="14" t="s">
        <v>25</v>
      </c>
      <c r="G66" s="14" t="s">
        <v>26</v>
      </c>
      <c r="H66" s="30">
        <v>46171</v>
      </c>
      <c r="I66" s="46">
        <f t="shared" si="10"/>
        <v>46353.5</v>
      </c>
    </row>
    <row r="67" spans="1:317" x14ac:dyDescent="0.25">
      <c r="A67" s="36">
        <v>48</v>
      </c>
      <c r="B67" s="14" t="s">
        <v>103</v>
      </c>
      <c r="C67" s="25" t="s">
        <v>10</v>
      </c>
      <c r="D67" s="14" t="s">
        <v>34</v>
      </c>
      <c r="E67" s="53">
        <f t="shared" si="11"/>
        <v>182.5</v>
      </c>
      <c r="F67" s="14" t="s">
        <v>25</v>
      </c>
      <c r="G67" s="14" t="s">
        <v>45</v>
      </c>
      <c r="H67" s="30">
        <v>46218</v>
      </c>
      <c r="I67" s="46">
        <f t="shared" ref="I67:I74" si="12">H67+E67</f>
        <v>46400.5</v>
      </c>
    </row>
    <row r="68" spans="1:317" x14ac:dyDescent="0.25">
      <c r="A68" s="36">
        <v>49</v>
      </c>
      <c r="B68" s="14" t="s">
        <v>104</v>
      </c>
      <c r="C68" s="25" t="s">
        <v>10</v>
      </c>
      <c r="D68" s="14" t="s">
        <v>36</v>
      </c>
      <c r="E68" s="53">
        <f t="shared" si="11"/>
        <v>182.5</v>
      </c>
      <c r="F68" s="14" t="s">
        <v>25</v>
      </c>
      <c r="G68" s="14" t="s">
        <v>26</v>
      </c>
      <c r="H68" s="30">
        <v>46164</v>
      </c>
      <c r="I68" s="46">
        <f t="shared" si="12"/>
        <v>46346.5</v>
      </c>
    </row>
    <row r="69" spans="1:317" x14ac:dyDescent="0.25">
      <c r="A69" s="36">
        <v>50</v>
      </c>
      <c r="B69" s="14" t="s">
        <v>105</v>
      </c>
      <c r="C69" s="25" t="s">
        <v>10</v>
      </c>
      <c r="D69" s="14" t="s">
        <v>32</v>
      </c>
      <c r="E69" s="53">
        <v>30</v>
      </c>
      <c r="F69" s="14" t="s">
        <v>25</v>
      </c>
      <c r="G69" s="14" t="s">
        <v>26</v>
      </c>
      <c r="H69" s="30">
        <v>46239</v>
      </c>
      <c r="I69" s="46">
        <f t="shared" si="12"/>
        <v>46269</v>
      </c>
    </row>
    <row r="70" spans="1:317" x14ac:dyDescent="0.25">
      <c r="A70" s="36">
        <v>51</v>
      </c>
      <c r="B70" s="14" t="s">
        <v>106</v>
      </c>
      <c r="C70" s="25" t="s">
        <v>10</v>
      </c>
      <c r="D70" s="14" t="s">
        <v>30</v>
      </c>
      <c r="E70" s="53">
        <f>365/2</f>
        <v>182.5</v>
      </c>
      <c r="F70" s="14" t="s">
        <v>25</v>
      </c>
      <c r="G70" s="14" t="s">
        <v>26</v>
      </c>
      <c r="H70" s="30">
        <v>46164</v>
      </c>
      <c r="I70" s="46">
        <f t="shared" si="12"/>
        <v>46346.5</v>
      </c>
    </row>
    <row r="71" spans="1:317" x14ac:dyDescent="0.25">
      <c r="A71" s="36">
        <v>52</v>
      </c>
      <c r="B71" s="14" t="s">
        <v>107</v>
      </c>
      <c r="C71" s="25" t="s">
        <v>10</v>
      </c>
      <c r="D71" s="14" t="s">
        <v>108</v>
      </c>
      <c r="E71" s="53">
        <f>365/2</f>
        <v>182.5</v>
      </c>
      <c r="F71" s="14" t="s">
        <v>25</v>
      </c>
      <c r="G71" s="14" t="s">
        <v>26</v>
      </c>
      <c r="H71" s="30">
        <v>46156</v>
      </c>
      <c r="I71" s="46">
        <f t="shared" si="12"/>
        <v>46338.5</v>
      </c>
    </row>
    <row r="72" spans="1:317" x14ac:dyDescent="0.25">
      <c r="A72" s="36">
        <v>53</v>
      </c>
      <c r="B72" s="14" t="s">
        <v>109</v>
      </c>
      <c r="C72" s="31" t="s">
        <v>10</v>
      </c>
      <c r="D72" s="14" t="s">
        <v>91</v>
      </c>
      <c r="E72" s="53">
        <v>365</v>
      </c>
      <c r="F72" s="14" t="s">
        <v>25</v>
      </c>
      <c r="G72" s="14" t="s">
        <v>26</v>
      </c>
      <c r="H72" s="30">
        <v>46177</v>
      </c>
      <c r="I72" s="46">
        <f t="shared" si="12"/>
        <v>46542</v>
      </c>
    </row>
    <row r="73" spans="1:317" x14ac:dyDescent="0.25">
      <c r="A73" s="36">
        <v>54</v>
      </c>
      <c r="B73" s="14" t="s">
        <v>110</v>
      </c>
      <c r="C73" s="25" t="s">
        <v>10</v>
      </c>
      <c r="D73" s="14" t="s">
        <v>63</v>
      </c>
      <c r="E73" s="53">
        <f>365/2</f>
        <v>182.5</v>
      </c>
      <c r="F73" s="14" t="s">
        <v>43</v>
      </c>
      <c r="G73" s="14" t="s">
        <v>26</v>
      </c>
      <c r="H73" s="30">
        <v>46171</v>
      </c>
      <c r="I73" s="46">
        <f t="shared" si="12"/>
        <v>46353.5</v>
      </c>
    </row>
    <row r="74" spans="1:317" x14ac:dyDescent="0.25">
      <c r="A74" s="36">
        <v>55</v>
      </c>
      <c r="B74" s="14" t="s">
        <v>111</v>
      </c>
      <c r="C74" s="25" t="s">
        <v>10</v>
      </c>
      <c r="D74" s="14" t="s">
        <v>32</v>
      </c>
      <c r="E74" s="53">
        <v>365</v>
      </c>
      <c r="F74" s="14" t="s">
        <v>25</v>
      </c>
      <c r="G74" s="14" t="s">
        <v>26</v>
      </c>
      <c r="H74" s="30">
        <v>46157</v>
      </c>
      <c r="I74" s="46">
        <f t="shared" si="12"/>
        <v>46522</v>
      </c>
    </row>
    <row r="75" spans="1:317" x14ac:dyDescent="0.25">
      <c r="A75" s="36">
        <v>56</v>
      </c>
      <c r="B75" s="14" t="s">
        <v>112</v>
      </c>
      <c r="C75" s="25" t="s">
        <v>10</v>
      </c>
      <c r="D75" s="14" t="s">
        <v>42</v>
      </c>
      <c r="E75" s="53">
        <v>365</v>
      </c>
      <c r="F75" s="14" t="s">
        <v>25</v>
      </c>
      <c r="G75" s="14" t="s">
        <v>26</v>
      </c>
      <c r="H75" s="30">
        <v>46171</v>
      </c>
      <c r="I75" s="46">
        <f t="shared" ref="I75" si="13">H75+E75</f>
        <v>46536</v>
      </c>
    </row>
    <row r="76" spans="1:317" x14ac:dyDescent="0.25">
      <c r="A76" s="36">
        <v>57</v>
      </c>
      <c r="B76" s="14" t="s">
        <v>113</v>
      </c>
      <c r="C76" s="25" t="s">
        <v>10</v>
      </c>
      <c r="D76" s="14" t="s">
        <v>114</v>
      </c>
      <c r="E76" s="53">
        <f>365/2</f>
        <v>182.5</v>
      </c>
      <c r="F76" s="14" t="s">
        <v>25</v>
      </c>
      <c r="G76" s="14" t="s">
        <v>26</v>
      </c>
      <c r="H76" s="30">
        <v>46171</v>
      </c>
      <c r="I76" s="46">
        <f>H76+E76</f>
        <v>46353.5</v>
      </c>
    </row>
    <row r="77" spans="1:317" s="17" customFormat="1" x14ac:dyDescent="0.25">
      <c r="A77" s="36">
        <v>58</v>
      </c>
      <c r="B77" s="14" t="s">
        <v>115</v>
      </c>
      <c r="C77" s="25" t="s">
        <v>10</v>
      </c>
      <c r="D77" s="14" t="s">
        <v>114</v>
      </c>
      <c r="E77" s="53">
        <f>365/2</f>
        <v>182.5</v>
      </c>
      <c r="F77" s="14" t="s">
        <v>25</v>
      </c>
      <c r="G77" s="14" t="s">
        <v>26</v>
      </c>
      <c r="H77" s="59">
        <v>46157</v>
      </c>
      <c r="I77" s="46">
        <f>H77+E77</f>
        <v>46339.5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</row>
    <row r="78" spans="1:317" s="17" customFormat="1" x14ac:dyDescent="0.25">
      <c r="A78" s="36">
        <v>59</v>
      </c>
      <c r="B78" s="14" t="s">
        <v>116</v>
      </c>
      <c r="C78" s="25" t="s">
        <v>10</v>
      </c>
      <c r="D78" s="14" t="s">
        <v>50</v>
      </c>
      <c r="E78" s="53">
        <f>365/2</f>
        <v>182.5</v>
      </c>
      <c r="F78" s="14" t="s">
        <v>25</v>
      </c>
      <c r="G78" s="14" t="s">
        <v>26</v>
      </c>
      <c r="H78" s="46">
        <v>46164</v>
      </c>
      <c r="I78" s="46">
        <f>H78+E78</f>
        <v>46346.5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</row>
    <row r="79" spans="1:317" x14ac:dyDescent="0.25">
      <c r="A79" s="36">
        <v>60</v>
      </c>
      <c r="B79" s="14" t="s">
        <v>117</v>
      </c>
      <c r="C79" s="31" t="s">
        <v>10</v>
      </c>
      <c r="D79" s="14" t="s">
        <v>61</v>
      </c>
      <c r="E79" s="53">
        <f>365/2</f>
        <v>182.5</v>
      </c>
      <c r="F79" s="14" t="s">
        <v>43</v>
      </c>
      <c r="G79" s="14" t="s">
        <v>26</v>
      </c>
      <c r="H79" s="80">
        <v>46185</v>
      </c>
      <c r="I79" s="46">
        <f t="shared" ref="I79" si="14">H79+E79</f>
        <v>46367.5</v>
      </c>
    </row>
    <row r="80" spans="1:317" x14ac:dyDescent="0.25">
      <c r="A80" s="36">
        <v>61</v>
      </c>
      <c r="B80" s="14" t="s">
        <v>118</v>
      </c>
      <c r="C80" s="25" t="s">
        <v>10</v>
      </c>
      <c r="D80" s="14" t="s">
        <v>34</v>
      </c>
      <c r="E80" s="53">
        <v>365</v>
      </c>
      <c r="F80" s="14" t="s">
        <v>25</v>
      </c>
      <c r="G80" s="14" t="s">
        <v>26</v>
      </c>
      <c r="H80" s="105">
        <v>46164</v>
      </c>
      <c r="I80" s="46">
        <f>H80+E80</f>
        <v>46529</v>
      </c>
    </row>
    <row r="81" spans="1:9" x14ac:dyDescent="0.25">
      <c r="A81" s="36">
        <v>62</v>
      </c>
      <c r="B81" s="47" t="s">
        <v>119</v>
      </c>
      <c r="C81" s="31" t="s">
        <v>10</v>
      </c>
      <c r="D81" s="47" t="s">
        <v>120</v>
      </c>
      <c r="E81" s="60">
        <f>365/4</f>
        <v>91.25</v>
      </c>
      <c r="F81" s="14" t="s">
        <v>25</v>
      </c>
      <c r="G81" s="47" t="s">
        <v>26</v>
      </c>
      <c r="H81" s="80">
        <v>46164</v>
      </c>
      <c r="I81" s="46">
        <f t="shared" ref="I81:I82" si="15">H81+E81</f>
        <v>46255.25</v>
      </c>
    </row>
    <row r="82" spans="1:9" x14ac:dyDescent="0.25">
      <c r="A82" s="36">
        <v>63</v>
      </c>
      <c r="B82" s="47" t="s">
        <v>121</v>
      </c>
      <c r="C82" s="31" t="s">
        <v>10</v>
      </c>
      <c r="D82" s="47" t="s">
        <v>120</v>
      </c>
      <c r="E82" s="60">
        <v>365</v>
      </c>
      <c r="F82" s="14" t="s">
        <v>25</v>
      </c>
      <c r="G82" s="47" t="s">
        <v>26</v>
      </c>
      <c r="H82" s="80">
        <v>46164</v>
      </c>
      <c r="I82" s="46">
        <f t="shared" si="15"/>
        <v>46529</v>
      </c>
    </row>
    <row r="83" spans="1:9" x14ac:dyDescent="0.25">
      <c r="A83" s="36">
        <v>64</v>
      </c>
      <c r="B83" s="14" t="s">
        <v>122</v>
      </c>
      <c r="C83" s="25" t="s">
        <v>10</v>
      </c>
      <c r="D83" s="14" t="s">
        <v>30</v>
      </c>
      <c r="E83" s="53">
        <f>365/2</f>
        <v>182.5</v>
      </c>
      <c r="F83" s="14" t="s">
        <v>25</v>
      </c>
      <c r="G83" s="14" t="s">
        <v>26</v>
      </c>
      <c r="H83" s="105">
        <v>46164</v>
      </c>
      <c r="I83" s="46">
        <f>H83+E83</f>
        <v>46346.5</v>
      </c>
    </row>
    <row r="84" spans="1:9" x14ac:dyDescent="0.25">
      <c r="A84" s="36">
        <v>65</v>
      </c>
      <c r="B84" s="14" t="s">
        <v>123</v>
      </c>
      <c r="C84" s="25" t="s">
        <v>10</v>
      </c>
      <c r="D84" s="14" t="s">
        <v>34</v>
      </c>
      <c r="E84" s="53">
        <v>365</v>
      </c>
      <c r="F84" s="14" t="s">
        <v>25</v>
      </c>
      <c r="G84" s="14" t="s">
        <v>45</v>
      </c>
      <c r="H84" s="59">
        <v>46233</v>
      </c>
      <c r="I84" s="46">
        <f>H84+E84</f>
        <v>46598</v>
      </c>
    </row>
    <row r="85" spans="1:9" x14ac:dyDescent="0.25">
      <c r="A85" s="36">
        <v>66</v>
      </c>
      <c r="B85" s="14" t="s">
        <v>124</v>
      </c>
      <c r="C85" s="25" t="s">
        <v>10</v>
      </c>
      <c r="D85" s="14" t="s">
        <v>34</v>
      </c>
      <c r="E85" s="53">
        <v>365</v>
      </c>
      <c r="F85" s="14" t="s">
        <v>25</v>
      </c>
      <c r="G85" s="14" t="s">
        <v>45</v>
      </c>
      <c r="H85" s="59">
        <v>46234</v>
      </c>
      <c r="I85" s="46">
        <f>H85+E85</f>
        <v>46599</v>
      </c>
    </row>
    <row r="86" spans="1:9" x14ac:dyDescent="0.25">
      <c r="A86" s="36">
        <v>67</v>
      </c>
      <c r="B86" s="14" t="s">
        <v>125</v>
      </c>
      <c r="C86" s="31" t="s">
        <v>10</v>
      </c>
      <c r="D86" s="14" t="s">
        <v>70</v>
      </c>
      <c r="E86" s="53">
        <v>365</v>
      </c>
      <c r="F86" s="14" t="s">
        <v>25</v>
      </c>
      <c r="G86" s="14" t="s">
        <v>26</v>
      </c>
      <c r="H86" s="80">
        <v>46171</v>
      </c>
      <c r="I86" s="46">
        <f t="shared" ref="I86" si="16">H86+E86</f>
        <v>46536</v>
      </c>
    </row>
    <row r="87" spans="1:9" x14ac:dyDescent="0.25">
      <c r="A87" s="36">
        <v>68</v>
      </c>
      <c r="B87" s="14" t="s">
        <v>126</v>
      </c>
      <c r="C87" s="25" t="s">
        <v>10</v>
      </c>
      <c r="D87" s="14" t="s">
        <v>91</v>
      </c>
      <c r="E87" s="14">
        <v>365</v>
      </c>
      <c r="F87" s="14" t="s">
        <v>25</v>
      </c>
      <c r="G87" s="14" t="s">
        <v>26</v>
      </c>
      <c r="H87" s="46">
        <v>46156</v>
      </c>
      <c r="I87" s="46">
        <f t="shared" ref="I87:I94" si="17">H87+E87</f>
        <v>46521</v>
      </c>
    </row>
    <row r="88" spans="1:9" x14ac:dyDescent="0.25">
      <c r="A88" s="36">
        <v>69</v>
      </c>
      <c r="B88" s="14" t="s">
        <v>127</v>
      </c>
      <c r="C88" s="25" t="s">
        <v>10</v>
      </c>
      <c r="D88" s="14" t="s">
        <v>91</v>
      </c>
      <c r="E88" s="14">
        <v>365</v>
      </c>
      <c r="F88" s="14" t="s">
        <v>25</v>
      </c>
      <c r="G88" s="14" t="s">
        <v>26</v>
      </c>
      <c r="H88" s="46">
        <v>46156</v>
      </c>
      <c r="I88" s="46">
        <f t="shared" si="17"/>
        <v>46521</v>
      </c>
    </row>
    <row r="89" spans="1:9" x14ac:dyDescent="0.25">
      <c r="A89" s="36">
        <v>70</v>
      </c>
      <c r="B89" s="20" t="s">
        <v>128</v>
      </c>
      <c r="C89" s="25" t="s">
        <v>10</v>
      </c>
      <c r="D89" s="14" t="s">
        <v>91</v>
      </c>
      <c r="E89" s="14">
        <v>365</v>
      </c>
      <c r="F89" s="14" t="s">
        <v>25</v>
      </c>
      <c r="G89" s="14" t="s">
        <v>26</v>
      </c>
      <c r="H89" s="46">
        <v>46156</v>
      </c>
      <c r="I89" s="46">
        <f t="shared" si="17"/>
        <v>46521</v>
      </c>
    </row>
    <row r="90" spans="1:9" x14ac:dyDescent="0.25">
      <c r="A90" s="36">
        <v>71</v>
      </c>
      <c r="B90" s="37" t="s">
        <v>129</v>
      </c>
      <c r="C90" s="73" t="s">
        <v>10</v>
      </c>
      <c r="D90" s="37" t="s">
        <v>91</v>
      </c>
      <c r="E90" s="37">
        <v>365</v>
      </c>
      <c r="F90" s="14" t="s">
        <v>25</v>
      </c>
      <c r="G90" s="37" t="s">
        <v>26</v>
      </c>
      <c r="H90" s="79">
        <v>46156</v>
      </c>
      <c r="I90" s="79">
        <f t="shared" si="17"/>
        <v>46521</v>
      </c>
    </row>
    <row r="91" spans="1:9" x14ac:dyDescent="0.25">
      <c r="A91" s="36">
        <v>72</v>
      </c>
      <c r="B91" s="20" t="s">
        <v>130</v>
      </c>
      <c r="C91" s="25" t="s">
        <v>10</v>
      </c>
      <c r="D91" s="14" t="s">
        <v>91</v>
      </c>
      <c r="E91" s="81">
        <v>365</v>
      </c>
      <c r="F91" s="14" t="s">
        <v>25</v>
      </c>
      <c r="G91" s="47" t="s">
        <v>26</v>
      </c>
      <c r="H91" s="30">
        <v>46171</v>
      </c>
      <c r="I91" s="46">
        <f t="shared" si="17"/>
        <v>46536</v>
      </c>
    </row>
    <row r="92" spans="1:9" x14ac:dyDescent="0.25">
      <c r="A92" s="36">
        <v>73</v>
      </c>
      <c r="B92" s="14" t="s">
        <v>131</v>
      </c>
      <c r="C92" s="25" t="s">
        <v>10</v>
      </c>
      <c r="D92" s="14" t="s">
        <v>91</v>
      </c>
      <c r="E92" s="14">
        <v>365</v>
      </c>
      <c r="F92" s="14" t="s">
        <v>25</v>
      </c>
      <c r="G92" s="14" t="s">
        <v>26</v>
      </c>
      <c r="H92" s="30">
        <v>46164</v>
      </c>
      <c r="I92" s="46">
        <f t="shared" si="17"/>
        <v>46529</v>
      </c>
    </row>
    <row r="93" spans="1:9" x14ac:dyDescent="0.25">
      <c r="A93" s="36">
        <v>74</v>
      </c>
      <c r="B93" s="14" t="s">
        <v>132</v>
      </c>
      <c r="C93" s="25" t="s">
        <v>10</v>
      </c>
      <c r="D93" s="14" t="s">
        <v>133</v>
      </c>
      <c r="E93" s="53">
        <v>365</v>
      </c>
      <c r="F93" s="14" t="s">
        <v>25</v>
      </c>
      <c r="G93" s="14" t="s">
        <v>26</v>
      </c>
      <c r="H93" s="30">
        <v>46175</v>
      </c>
      <c r="I93" s="46">
        <f t="shared" si="17"/>
        <v>46540</v>
      </c>
    </row>
    <row r="94" spans="1:9" x14ac:dyDescent="0.25">
      <c r="A94" s="36">
        <v>75</v>
      </c>
      <c r="B94" s="14" t="s">
        <v>134</v>
      </c>
      <c r="C94" s="25" t="s">
        <v>10</v>
      </c>
      <c r="D94" s="14" t="s">
        <v>34</v>
      </c>
      <c r="E94" s="53">
        <v>365</v>
      </c>
      <c r="F94" s="14" t="s">
        <v>25</v>
      </c>
      <c r="G94" s="14" t="s">
        <v>26</v>
      </c>
      <c r="H94" s="59">
        <v>46177</v>
      </c>
      <c r="I94" s="46">
        <f t="shared" si="17"/>
        <v>46542</v>
      </c>
    </row>
    <row r="95" spans="1:9" x14ac:dyDescent="0.25">
      <c r="A95" s="15">
        <v>76</v>
      </c>
      <c r="B95" s="14" t="s">
        <v>135</v>
      </c>
      <c r="C95" s="25" t="s">
        <v>10</v>
      </c>
      <c r="D95" s="14" t="s">
        <v>91</v>
      </c>
      <c r="E95" s="53">
        <v>365</v>
      </c>
      <c r="F95" s="14" t="s">
        <v>25</v>
      </c>
      <c r="G95" s="14" t="s">
        <v>26</v>
      </c>
      <c r="H95" s="59">
        <v>46177</v>
      </c>
      <c r="I95" s="46">
        <f>H95+E95</f>
        <v>46542</v>
      </c>
    </row>
    <row r="96" spans="1:9" x14ac:dyDescent="0.25">
      <c r="A96" s="15">
        <v>77</v>
      </c>
      <c r="B96" s="14" t="s">
        <v>136</v>
      </c>
      <c r="C96" s="25" t="s">
        <v>10</v>
      </c>
      <c r="D96" s="14" t="s">
        <v>50</v>
      </c>
      <c r="E96" s="53">
        <v>365</v>
      </c>
      <c r="F96" s="14" t="s">
        <v>25</v>
      </c>
      <c r="G96" s="14" t="s">
        <v>26</v>
      </c>
      <c r="H96" s="59">
        <v>46206</v>
      </c>
      <c r="I96" s="46">
        <f>H96+E96</f>
        <v>46571</v>
      </c>
    </row>
    <row r="97" spans="1:9" x14ac:dyDescent="0.25">
      <c r="A97" s="15">
        <v>78</v>
      </c>
      <c r="B97" s="14" t="s">
        <v>137</v>
      </c>
      <c r="C97" s="25" t="s">
        <v>10</v>
      </c>
      <c r="D97" s="14" t="s">
        <v>50</v>
      </c>
      <c r="E97" s="53">
        <v>365</v>
      </c>
      <c r="F97" s="14" t="s">
        <v>25</v>
      </c>
      <c r="G97" s="14" t="s">
        <v>26</v>
      </c>
      <c r="H97" s="59">
        <v>46207</v>
      </c>
      <c r="I97" s="46">
        <f>H97+E97</f>
        <v>46572</v>
      </c>
    </row>
    <row r="98" spans="1:9" x14ac:dyDescent="0.25">
      <c r="A98" s="15">
        <v>79</v>
      </c>
      <c r="B98" s="14" t="s">
        <v>138</v>
      </c>
      <c r="C98" s="25" t="s">
        <v>10</v>
      </c>
      <c r="D98" s="14" t="s">
        <v>50</v>
      </c>
      <c r="E98" s="53">
        <v>365</v>
      </c>
      <c r="F98" s="14" t="s">
        <v>25</v>
      </c>
      <c r="G98" s="14" t="s">
        <v>26</v>
      </c>
      <c r="H98" s="59">
        <v>46207</v>
      </c>
      <c r="I98" s="46">
        <f>H98+E98</f>
        <v>46572</v>
      </c>
    </row>
    <row r="99" spans="1:9" x14ac:dyDescent="0.25">
      <c r="A99" s="15">
        <v>80</v>
      </c>
      <c r="B99" s="14" t="s">
        <v>139</v>
      </c>
      <c r="C99" s="25" t="s">
        <v>10</v>
      </c>
      <c r="D99" s="14"/>
      <c r="E99" s="53"/>
      <c r="F99" s="14"/>
      <c r="G99" s="14"/>
      <c r="H99" s="59"/>
      <c r="I99" s="46"/>
    </row>
    <row r="100" spans="1:9" x14ac:dyDescent="0.25">
      <c r="A100" s="15">
        <v>81</v>
      </c>
      <c r="B100" s="14" t="s">
        <v>168</v>
      </c>
      <c r="C100" s="25" t="s">
        <v>10</v>
      </c>
      <c r="D100" s="14" t="s">
        <v>50</v>
      </c>
      <c r="E100" s="53">
        <v>365</v>
      </c>
      <c r="F100" s="14" t="s">
        <v>25</v>
      </c>
      <c r="G100" s="14" t="s">
        <v>26</v>
      </c>
      <c r="H100" s="59">
        <v>46239</v>
      </c>
      <c r="I100" s="46">
        <f>H100+E100</f>
        <v>46604</v>
      </c>
    </row>
    <row r="101" spans="1:9" x14ac:dyDescent="0.25">
      <c r="A101" s="15"/>
      <c r="B101" s="14"/>
      <c r="C101" s="25"/>
      <c r="D101" s="14"/>
      <c r="E101" s="53"/>
      <c r="F101" s="14"/>
      <c r="G101" s="14"/>
      <c r="H101" s="59"/>
      <c r="I101" s="46"/>
    </row>
    <row r="102" spans="1:9" x14ac:dyDescent="0.25">
      <c r="A102" s="14"/>
      <c r="B102" s="14"/>
      <c r="C102" s="14"/>
      <c r="D102" s="14"/>
      <c r="E102" s="14"/>
      <c r="F102" s="14"/>
      <c r="G102" s="14"/>
      <c r="H102" s="14"/>
      <c r="I102" s="46"/>
    </row>
    <row r="103" spans="1:9" x14ac:dyDescent="0.25">
      <c r="I103" s="44"/>
    </row>
    <row r="104" spans="1:9" ht="15.75" x14ac:dyDescent="0.25">
      <c r="A104" s="27" t="s">
        <v>140</v>
      </c>
      <c r="B104" s="28" t="s">
        <v>141</v>
      </c>
      <c r="I104" s="44"/>
    </row>
    <row r="105" spans="1:9" ht="15.75" x14ac:dyDescent="0.25">
      <c r="A105" s="27" t="s">
        <v>142</v>
      </c>
      <c r="B105" s="28" t="s">
        <v>143</v>
      </c>
      <c r="I105" s="44"/>
    </row>
    <row r="106" spans="1:9" x14ac:dyDescent="0.25">
      <c r="A106" s="26"/>
      <c r="I106" s="44"/>
    </row>
  </sheetData>
  <autoFilter ref="A7:J102" xr:uid="{F7E5B75A-519F-4291-92E4-A594FDE6EB36}"/>
  <mergeCells count="4">
    <mergeCell ref="B2:B4"/>
    <mergeCell ref="C2:D2"/>
    <mergeCell ref="C3:D3"/>
    <mergeCell ref="H8:I8"/>
  </mergeCells>
  <conditionalFormatting sqref="I11:I18 I20:I102">
    <cfRule type="expression" dxfId="14" priority="75" stopIfTrue="1">
      <formula>I11&lt;TODAY()</formula>
    </cfRule>
    <cfRule type="expression" dxfId="13" priority="76">
      <formula>_xlfn.DAYS(I11,TODAY())&lt;E11/10</formula>
    </cfRule>
  </conditionalFormatting>
  <conditionalFormatting sqref="I12:I18 I20:I102">
    <cfRule type="expression" dxfId="12" priority="23">
      <formula>"+$L$20&lt;(E20/10)"</formula>
    </cfRule>
    <cfRule type="expression" dxfId="11" priority="24">
      <formula>$I$16&lt;TODAY()</formula>
    </cfRule>
  </conditionalFormatting>
  <hyperlinks>
    <hyperlink ref="C20" r:id="rId1" xr:uid="{3468AECC-95F8-434B-ABFA-ACE6AD3BC664}"/>
    <hyperlink ref="C23" r:id="rId2" xr:uid="{B28E9C2C-231F-4CF8-A191-F7BD24D9D9FB}"/>
    <hyperlink ref="C22" r:id="rId3" xr:uid="{FC0053F2-5491-447C-B990-DE014DFD72F6}"/>
    <hyperlink ref="C21" r:id="rId4" xr:uid="{50EFFBF7-1DED-4647-B28E-A16715E9F9C2}"/>
    <hyperlink ref="C24" r:id="rId5" xr:uid="{4D84F098-A4D9-488E-8FB0-E9EB42D11E95}"/>
    <hyperlink ref="C27" r:id="rId6" xr:uid="{85C674B3-5265-4DA1-B970-AE14C5FC8A74}"/>
    <hyperlink ref="C29" r:id="rId7" xr:uid="{02B4536E-9A90-47E4-ADDB-9C2F81C3AF96}"/>
    <hyperlink ref="C30" r:id="rId8" xr:uid="{45FAC3E0-6E25-4267-B0FD-E88103D322C2}"/>
    <hyperlink ref="C31" r:id="rId9" xr:uid="{62C70B5B-76D5-41EF-BD02-EF03F4B27F38}"/>
    <hyperlink ref="C34" r:id="rId10" xr:uid="{925A746A-3C12-4DE4-ADAD-74804933B118}"/>
    <hyperlink ref="C35" r:id="rId11" xr:uid="{B38905D2-A0D9-436C-A5C1-DFD65066E3D2}"/>
    <hyperlink ref="C38" r:id="rId12" xr:uid="{76A7200E-6CCA-460A-946F-91B5484292C9}"/>
    <hyperlink ref="C36" r:id="rId13" xr:uid="{1818A983-2BFE-4F49-853C-2957E9D76047}"/>
    <hyperlink ref="C37" r:id="rId14" xr:uid="{7311B90A-BEA1-4BBB-AA8C-1067E1923152}"/>
    <hyperlink ref="C41" r:id="rId15" xr:uid="{4243A5C7-E3CB-4F60-8BD1-F4D2759A7070}"/>
    <hyperlink ref="C40" r:id="rId16" xr:uid="{F732CE39-755A-4283-80A7-E0E9EF8842AE}"/>
    <hyperlink ref="C44" r:id="rId17" xr:uid="{AAA74AE0-5808-4BEE-BCB2-FF9F25CDA193}"/>
    <hyperlink ref="C46" r:id="rId18" xr:uid="{F1C842ED-E87E-4175-8C3C-DFBB2868970B}"/>
    <hyperlink ref="C48" r:id="rId19" xr:uid="{796AF71C-0FFE-495D-A584-1FD48813DAFB}"/>
    <hyperlink ref="C49" r:id="rId20" xr:uid="{6487E5F8-2104-4B98-BFAB-9C3E13E28803}"/>
    <hyperlink ref="C51" r:id="rId21" xr:uid="{58F6119F-E5F9-4C68-8772-CA7C149090F6}"/>
    <hyperlink ref="C52" r:id="rId22" xr:uid="{B02DDC5F-24F6-47AB-AAB9-C4284481F6DF}"/>
    <hyperlink ref="C53" r:id="rId23" xr:uid="{877CF1A8-C9A9-418B-87E5-420C7E2F7350}"/>
    <hyperlink ref="C55" r:id="rId24" xr:uid="{DA0DCD66-135D-49BA-9225-678A0BB39748}"/>
    <hyperlink ref="C59" r:id="rId25" xr:uid="{59DB0E45-F046-4D59-984A-3660BA59EE4E}"/>
    <hyperlink ref="C64" r:id="rId26" xr:uid="{704C2117-67A9-42D6-89FA-E9BC4B41F050}"/>
    <hyperlink ref="C42" r:id="rId27" xr:uid="{382FE830-21C0-41AC-A2C0-A703C82588FF}"/>
    <hyperlink ref="C66" r:id="rId28" xr:uid="{D4A21CC7-C106-4038-8E76-7A64F267F846}"/>
    <hyperlink ref="C65" r:id="rId29" xr:uid="{AAED7C05-E340-40D2-AAD4-5E38199A8EB3}"/>
    <hyperlink ref="C68" r:id="rId30" xr:uid="{6B206B4D-3199-4D43-8EC2-F15814C06268}"/>
    <hyperlink ref="C71" r:id="rId31" xr:uid="{313126FE-D9F1-4CC8-9D6E-A258D17FA4C3}"/>
    <hyperlink ref="C70" r:id="rId32" xr:uid="{7C696B82-F82E-435A-BD74-73AAD7FCF4E6}"/>
    <hyperlink ref="C62" r:id="rId33" xr:uid="{3E4C0116-E76B-4F48-985D-C359DCAE6E82}"/>
    <hyperlink ref="C73" r:id="rId34" xr:uid="{E282ACC8-F0DE-4EA6-A9E2-8FBA983F1CFE}"/>
    <hyperlink ref="C75" r:id="rId35" xr:uid="{EDE23C19-8B3D-4E21-AD1A-F7085CDFD213}"/>
    <hyperlink ref="C43" r:id="rId36" xr:uid="{D770B3C0-CD62-4678-8D98-340ED47C9D5A}"/>
    <hyperlink ref="C77" r:id="rId37" xr:uid="{23DD2204-2BFF-41AD-AF6C-CB235AA6729C}"/>
    <hyperlink ref="C32" r:id="rId38" xr:uid="{600DAAB5-F167-4DB1-9003-524F34E9529D}"/>
    <hyperlink ref="C69" r:id="rId39" xr:uid="{90B81259-853F-498C-8D59-FB34868C8B9E}"/>
    <hyperlink ref="C12" r:id="rId40" xr:uid="{79CA9BEF-2B0D-4B00-8B32-902F7735FB0C}"/>
    <hyperlink ref="C76" r:id="rId41" xr:uid="{A9578CCC-2445-4764-BBFF-AF5568671E52}"/>
    <hyperlink ref="C63" r:id="rId42" xr:uid="{AF8CF6EA-C8E9-4CCE-B9FE-652D27D45CFF}"/>
    <hyperlink ref="C61" r:id="rId43" xr:uid="{2ADE9B55-1460-4F85-A69E-6874A49FF2F9}"/>
    <hyperlink ref="C60" r:id="rId44" xr:uid="{8BE058FB-495B-4D8B-AA46-D76634CD00AA}"/>
    <hyperlink ref="C54" r:id="rId45" xr:uid="{CD76A570-7FD9-4B6C-9857-CD6456752582}"/>
    <hyperlink ref="C58" r:id="rId46" xr:uid="{9A03B476-EB50-47CC-8689-40073EF159B8}"/>
    <hyperlink ref="C56" r:id="rId47" xr:uid="{41992FBB-549B-4725-AB88-D31903AC023F}"/>
    <hyperlink ref="C11" r:id="rId48" xr:uid="{FC251355-03DB-4A80-9E7A-0CC7F2D89705}"/>
    <hyperlink ref="C74" r:id="rId49" xr:uid="{DFD9E3C3-96C4-4A62-B3A1-D55B8E951C70}"/>
    <hyperlink ref="C78" r:id="rId50" xr:uid="{C9957695-2574-466E-8AD2-C61BFE02173E}"/>
    <hyperlink ref="B7" r:id="rId51" xr:uid="{29F2039C-86C6-47A4-8987-0A561B732A1A}"/>
    <hyperlink ref="C28" r:id="rId52" xr:uid="{8A45735E-5548-4711-A002-29D2A3005A50}"/>
    <hyperlink ref="C50" r:id="rId53" xr:uid="{AEA13247-E7F3-480F-A4A5-9FF446D63E97}"/>
    <hyperlink ref="C47" r:id="rId54" xr:uid="{E71DAC81-D995-429E-AB15-D14747ECBBEA}"/>
    <hyperlink ref="C33" r:id="rId55" xr:uid="{1349BA52-A8F9-48CD-9BF5-623EC63C7103}"/>
    <hyperlink ref="C45" r:id="rId56" xr:uid="{A838876D-C776-4370-B4F9-71F0B1B4A6E3}"/>
    <hyperlink ref="C57" r:id="rId57" xr:uid="{60DCCCAE-DBE1-4560-A20C-DBF6E0B86ADD}"/>
    <hyperlink ref="C67" r:id="rId58" xr:uid="{ED74D03E-5D99-444E-B7B0-E38BA62925AF}"/>
    <hyperlink ref="C25" r:id="rId59" xr:uid="{07711DCE-E559-429E-B8DF-9CFD00DF5C2F}"/>
    <hyperlink ref="C13:C16" r:id="rId60" display="Click Here" xr:uid="{99D80D73-0933-4008-A5AD-A829E116A267}"/>
    <hyperlink ref="C13" r:id="rId61" xr:uid="{EA53FB41-FB16-4573-A790-773D848DBA0C}"/>
    <hyperlink ref="C14" r:id="rId62" xr:uid="{DD5DEE3A-0F63-4594-A47E-06FF218FF75D}"/>
    <hyperlink ref="C15" r:id="rId63" xr:uid="{3EEE92F1-54AF-4C1A-B2FB-687D7C6761CC}"/>
    <hyperlink ref="C16" r:id="rId64" xr:uid="{29F10EC5-E34E-4A9F-9C1F-658E7C1FA940}"/>
    <hyperlink ref="C79" r:id="rId65" xr:uid="{1922C36E-84E9-4667-B900-16B417A00CF0}"/>
    <hyperlink ref="C17" r:id="rId66" xr:uid="{57B4CFC0-FAC0-4B4F-94C7-8779DF717DE8}"/>
    <hyperlink ref="C18" r:id="rId67" xr:uid="{CA4DE0E4-4D33-4374-B1B3-680FB1446312}"/>
    <hyperlink ref="C80" r:id="rId68" xr:uid="{C4DD8D24-0EBF-4D88-B1CD-2BCFD78D34F2}"/>
    <hyperlink ref="C39" r:id="rId69" xr:uid="{4F066CBD-9DF5-480B-9009-FE1A36FFC03C}"/>
    <hyperlink ref="C26" r:id="rId70" xr:uid="{DA888463-A179-4FCC-9F75-CC2D38138307}"/>
    <hyperlink ref="C82" r:id="rId71" xr:uid="{BD3A3585-C2DF-4CEE-AC38-3D19E70AC9C0}"/>
    <hyperlink ref="C81" r:id="rId72" xr:uid="{04A77DD5-CC38-4E77-B5EF-C9D959C2BBC7}"/>
    <hyperlink ref="C83" r:id="rId73" xr:uid="{E3B1232B-248C-4BE5-832B-31285E5D556E}"/>
    <hyperlink ref="C84" r:id="rId74" xr:uid="{19C8CD17-AEA3-4AF1-AC86-78C1A195E2DA}"/>
    <hyperlink ref="C85" r:id="rId75" xr:uid="{BFBA9C20-F0EC-4619-81E3-989B37E6FF33}"/>
    <hyperlink ref="C86" r:id="rId76" xr:uid="{E5818369-170E-4B8A-9652-FAB5639C7FF0}"/>
    <hyperlink ref="C87" r:id="rId77" xr:uid="{8AAD09F7-BCFA-4890-886F-A7ED47F0F8E0}"/>
    <hyperlink ref="C88" r:id="rId78" xr:uid="{F803331C-147F-4CF1-B120-B25399D6472C}"/>
    <hyperlink ref="C89" r:id="rId79" xr:uid="{E32146E8-99E2-4297-B6A9-3090C9E27BB8}"/>
    <hyperlink ref="C90" r:id="rId80" xr:uid="{D1AC95E9-67CE-4136-87C8-671CD2DB90E6}"/>
    <hyperlink ref="C91" r:id="rId81" xr:uid="{BA7C53C2-A5E4-436C-957C-7D94C00FE3C1}"/>
    <hyperlink ref="C92" r:id="rId82" xr:uid="{385E5795-C188-4C37-9557-F31878AD7AA2}"/>
    <hyperlink ref="C93" r:id="rId83" xr:uid="{C5174610-31AC-49A2-95F4-E3B0008B7CEF}"/>
    <hyperlink ref="C94" r:id="rId84" xr:uid="{624E5071-9C52-428E-9B96-84B4A989BD41}"/>
    <hyperlink ref="C95" r:id="rId85" xr:uid="{3BBEF83A-CD02-4F86-A70C-C5BC857561E4}"/>
    <hyperlink ref="C72" r:id="rId86" xr:uid="{8E4FD8B8-9CB4-4B73-894C-B797C77C7ECA}"/>
    <hyperlink ref="C96" r:id="rId87" xr:uid="{D0CC6598-30D9-4292-BF2F-16AE9C771E61}"/>
    <hyperlink ref="C97" r:id="rId88" xr:uid="{0622CE21-B412-47C5-A181-6D058482A7F7}"/>
    <hyperlink ref="C98" r:id="rId89" xr:uid="{ADC89C2D-3B1B-4FCF-8316-40D236062C20}"/>
    <hyperlink ref="C99" r:id="rId90" xr:uid="{447E2BBA-8720-4CDE-B7C9-C7F1EEE774FA}"/>
    <hyperlink ref="C100" r:id="rId91" xr:uid="{3BBDD874-3410-4C5F-8FE1-D990E8BB51C6}"/>
  </hyperlinks>
  <pageMargins left="0.7" right="0.7" top="0.75" bottom="0.75" header="0.3" footer="0.3"/>
  <pageSetup orientation="portrait" r:id="rId92"/>
  <drawing r:id="rId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C515-3614-4FEE-B89C-E12CF925B287}">
  <dimension ref="A1:C27"/>
  <sheetViews>
    <sheetView workbookViewId="0">
      <selection activeCell="A20" sqref="A20"/>
    </sheetView>
  </sheetViews>
  <sheetFormatPr defaultRowHeight="15" x14ac:dyDescent="0.25"/>
  <cols>
    <col min="1" max="1" width="14.5703125" bestFit="1" customWidth="1"/>
    <col min="2" max="2" width="22.5703125" bestFit="1" customWidth="1"/>
    <col min="3" max="3" width="23.5703125" bestFit="1" customWidth="1"/>
    <col min="4" max="4" width="23.42578125" bestFit="1" customWidth="1"/>
    <col min="5" max="5" width="36.42578125" bestFit="1" customWidth="1"/>
    <col min="6" max="6" width="20.42578125" bestFit="1" customWidth="1"/>
    <col min="7" max="7" width="30.140625" bestFit="1" customWidth="1"/>
    <col min="8" max="8" width="22.28515625" bestFit="1" customWidth="1"/>
    <col min="9" max="9" width="9.140625" bestFit="1" customWidth="1"/>
    <col min="10" max="10" width="28.85546875" bestFit="1" customWidth="1"/>
    <col min="11" max="11" width="27.140625" bestFit="1" customWidth="1"/>
    <col min="12" max="12" width="30.5703125" bestFit="1" customWidth="1"/>
    <col min="13" max="13" width="21.5703125" bestFit="1" customWidth="1"/>
    <col min="14" max="14" width="35.42578125" bestFit="1" customWidth="1"/>
    <col min="15" max="15" width="16.85546875" bestFit="1" customWidth="1"/>
    <col min="16" max="16" width="33.140625" bestFit="1" customWidth="1"/>
    <col min="17" max="17" width="23.5703125" bestFit="1" customWidth="1"/>
    <col min="18" max="19" width="16.42578125" bestFit="1" customWidth="1"/>
    <col min="20" max="20" width="24.5703125" bestFit="1" customWidth="1"/>
    <col min="21" max="21" width="20.140625" bestFit="1" customWidth="1"/>
    <col min="22" max="22" width="25.5703125" bestFit="1" customWidth="1"/>
    <col min="23" max="23" width="16.42578125" bestFit="1" customWidth="1"/>
    <col min="24" max="24" width="33.5703125" bestFit="1" customWidth="1"/>
    <col min="25" max="25" width="39.42578125" bestFit="1" customWidth="1"/>
    <col min="26" max="26" width="20" bestFit="1" customWidth="1"/>
    <col min="27" max="27" width="27" bestFit="1" customWidth="1"/>
    <col min="28" max="28" width="18.140625" bestFit="1" customWidth="1"/>
    <col min="29" max="29" width="29.140625" bestFit="1" customWidth="1"/>
    <col min="30" max="30" width="15.28515625" bestFit="1" customWidth="1"/>
    <col min="31" max="31" width="17" bestFit="1" customWidth="1"/>
    <col min="32" max="32" width="36.5703125" bestFit="1" customWidth="1"/>
    <col min="33" max="33" width="30.5703125" bestFit="1" customWidth="1"/>
    <col min="34" max="34" width="24.28515625" bestFit="1" customWidth="1"/>
    <col min="35" max="35" width="23.42578125" bestFit="1" customWidth="1"/>
    <col min="36" max="36" width="14.5703125" bestFit="1" customWidth="1"/>
    <col min="37" max="37" width="33.5703125" bestFit="1" customWidth="1"/>
    <col min="38" max="38" width="100.140625" bestFit="1" customWidth="1"/>
    <col min="39" max="39" width="45.5703125" bestFit="1" customWidth="1"/>
    <col min="40" max="40" width="15.140625" bestFit="1" customWidth="1"/>
    <col min="41" max="41" width="15.7109375" bestFit="1" customWidth="1"/>
    <col min="42" max="42" width="17" bestFit="1" customWidth="1"/>
    <col min="43" max="43" width="10.5703125" bestFit="1" customWidth="1"/>
    <col min="44" max="44" width="22.140625" bestFit="1" customWidth="1"/>
    <col min="45" max="45" width="23" bestFit="1" customWidth="1"/>
    <col min="46" max="46" width="50.140625" bestFit="1" customWidth="1"/>
    <col min="47" max="47" width="20.140625" bestFit="1" customWidth="1"/>
    <col min="48" max="48" width="20" bestFit="1" customWidth="1"/>
    <col min="49" max="49" width="29.28515625" bestFit="1" customWidth="1"/>
    <col min="50" max="50" width="28" bestFit="1" customWidth="1"/>
    <col min="51" max="51" width="10.7109375" bestFit="1" customWidth="1"/>
    <col min="52" max="52" width="25.42578125" bestFit="1" customWidth="1"/>
    <col min="53" max="53" width="17.42578125" bestFit="1" customWidth="1"/>
    <col min="54" max="54" width="37.85546875" bestFit="1" customWidth="1"/>
    <col min="55" max="55" width="27.140625" bestFit="1" customWidth="1"/>
    <col min="56" max="56" width="13.7109375" bestFit="1" customWidth="1"/>
    <col min="57" max="57" width="24.7109375" bestFit="1" customWidth="1"/>
    <col min="58" max="58" width="20.7109375" bestFit="1" customWidth="1"/>
    <col min="59" max="59" width="16.140625" bestFit="1" customWidth="1"/>
    <col min="60" max="60" width="27.5703125" bestFit="1" customWidth="1"/>
    <col min="61" max="61" width="14.42578125" bestFit="1" customWidth="1"/>
    <col min="62" max="62" width="23.28515625" bestFit="1" customWidth="1"/>
    <col min="63" max="63" width="25.140625" bestFit="1" customWidth="1"/>
    <col min="64" max="64" width="20.5703125" bestFit="1" customWidth="1"/>
    <col min="65" max="65" width="16.42578125" bestFit="1" customWidth="1"/>
    <col min="66" max="66" width="33.5703125" bestFit="1" customWidth="1"/>
    <col min="67" max="67" width="22.5703125" bestFit="1" customWidth="1"/>
    <col min="68" max="68" width="16.42578125" bestFit="1" customWidth="1"/>
    <col min="69" max="69" width="17.28515625" bestFit="1" customWidth="1"/>
    <col min="70" max="70" width="23.42578125" bestFit="1" customWidth="1"/>
    <col min="71" max="71" width="26" bestFit="1" customWidth="1"/>
    <col min="72" max="72" width="26.7109375" bestFit="1" customWidth="1"/>
    <col min="73" max="73" width="27.7109375" bestFit="1" customWidth="1"/>
    <col min="74" max="74" width="13.85546875" bestFit="1" customWidth="1"/>
    <col min="75" max="75" width="17.85546875" bestFit="1" customWidth="1"/>
    <col min="76" max="76" width="24.5703125" bestFit="1" customWidth="1"/>
    <col min="77" max="77" width="20.85546875" bestFit="1" customWidth="1"/>
    <col min="78" max="78" width="23.7109375" bestFit="1" customWidth="1"/>
    <col min="79" max="79" width="11.85546875" bestFit="1" customWidth="1"/>
    <col min="80" max="80" width="20.5703125" bestFit="1" customWidth="1"/>
    <col min="81" max="81" width="10.42578125" bestFit="1" customWidth="1"/>
  </cols>
  <sheetData>
    <row r="1" spans="1:3" x14ac:dyDescent="0.25">
      <c r="A1" s="41" t="s">
        <v>14</v>
      </c>
      <c r="B1" t="s" vm="1">
        <v>144</v>
      </c>
    </row>
    <row r="3" spans="1:3" x14ac:dyDescent="0.25">
      <c r="A3" s="41" t="s">
        <v>145</v>
      </c>
      <c r="B3" t="s">
        <v>146</v>
      </c>
    </row>
    <row r="4" spans="1:3" x14ac:dyDescent="0.25">
      <c r="A4" s="24" t="s">
        <v>147</v>
      </c>
      <c r="B4">
        <v>2</v>
      </c>
    </row>
    <row r="5" spans="1:3" x14ac:dyDescent="0.25">
      <c r="A5" s="24" t="s">
        <v>34</v>
      </c>
      <c r="B5">
        <v>6</v>
      </c>
    </row>
    <row r="6" spans="1:3" x14ac:dyDescent="0.25">
      <c r="A6" s="24" t="s">
        <v>148</v>
      </c>
      <c r="B6">
        <v>4</v>
      </c>
    </row>
    <row r="7" spans="1:3" x14ac:dyDescent="0.25">
      <c r="A7" s="24" t="s">
        <v>42</v>
      </c>
      <c r="B7">
        <v>7</v>
      </c>
    </row>
    <row r="8" spans="1:3" x14ac:dyDescent="0.25">
      <c r="A8" s="24" t="s">
        <v>75</v>
      </c>
      <c r="B8">
        <v>4</v>
      </c>
    </row>
    <row r="9" spans="1:3" x14ac:dyDescent="0.25">
      <c r="A9" s="24" t="s">
        <v>83</v>
      </c>
      <c r="B9">
        <v>4</v>
      </c>
    </row>
    <row r="10" spans="1:3" x14ac:dyDescent="0.25">
      <c r="A10" s="24" t="s">
        <v>120</v>
      </c>
      <c r="B10">
        <v>3</v>
      </c>
      <c r="C10" s="42" t="s">
        <v>120</v>
      </c>
    </row>
    <row r="11" spans="1:3" x14ac:dyDescent="0.25">
      <c r="A11" s="24" t="s">
        <v>114</v>
      </c>
      <c r="B11">
        <v>2</v>
      </c>
    </row>
    <row r="12" spans="1:3" x14ac:dyDescent="0.25">
      <c r="A12" s="24" t="s">
        <v>55</v>
      </c>
      <c r="B12">
        <v>4</v>
      </c>
    </row>
    <row r="13" spans="1:3" x14ac:dyDescent="0.25">
      <c r="A13" s="24" t="s">
        <v>28</v>
      </c>
      <c r="B13">
        <v>1</v>
      </c>
    </row>
    <row r="14" spans="1:3" x14ac:dyDescent="0.25">
      <c r="A14" s="24" t="s">
        <v>91</v>
      </c>
      <c r="B14">
        <v>2</v>
      </c>
    </row>
    <row r="15" spans="1:3" x14ac:dyDescent="0.25">
      <c r="A15" s="24" t="s">
        <v>32</v>
      </c>
      <c r="B15">
        <v>5</v>
      </c>
    </row>
    <row r="16" spans="1:3" x14ac:dyDescent="0.25">
      <c r="A16" s="24" t="s">
        <v>81</v>
      </c>
      <c r="B16">
        <v>2</v>
      </c>
    </row>
    <row r="17" spans="1:2" x14ac:dyDescent="0.25">
      <c r="A17" s="24" t="s">
        <v>149</v>
      </c>
      <c r="B17">
        <v>1</v>
      </c>
    </row>
    <row r="18" spans="1:2" x14ac:dyDescent="0.25">
      <c r="A18" s="24" t="s">
        <v>24</v>
      </c>
      <c r="B18">
        <v>4</v>
      </c>
    </row>
    <row r="19" spans="1:2" x14ac:dyDescent="0.25">
      <c r="A19" s="24" t="s">
        <v>50</v>
      </c>
      <c r="B19">
        <v>4</v>
      </c>
    </row>
    <row r="20" spans="1:2" x14ac:dyDescent="0.25">
      <c r="A20" s="24" t="s">
        <v>70</v>
      </c>
      <c r="B20">
        <v>3</v>
      </c>
    </row>
    <row r="21" spans="1:2" x14ac:dyDescent="0.25">
      <c r="A21" s="24" t="s">
        <v>52</v>
      </c>
      <c r="B21">
        <v>1</v>
      </c>
    </row>
    <row r="22" spans="1:2" x14ac:dyDescent="0.25">
      <c r="A22" s="24" t="s">
        <v>150</v>
      </c>
      <c r="B22">
        <v>6</v>
      </c>
    </row>
    <row r="23" spans="1:2" x14ac:dyDescent="0.25">
      <c r="A23" s="24" t="s">
        <v>30</v>
      </c>
      <c r="B23">
        <v>6</v>
      </c>
    </row>
    <row r="24" spans="1:2" x14ac:dyDescent="0.25">
      <c r="A24" s="24" t="s">
        <v>39</v>
      </c>
      <c r="B24">
        <v>2</v>
      </c>
    </row>
    <row r="25" spans="1:2" x14ac:dyDescent="0.25">
      <c r="A25" s="24" t="s">
        <v>73</v>
      </c>
      <c r="B25">
        <v>2</v>
      </c>
    </row>
    <row r="26" spans="1:2" x14ac:dyDescent="0.25">
      <c r="A26" s="24" t="s">
        <v>36</v>
      </c>
      <c r="B26">
        <v>4</v>
      </c>
    </row>
    <row r="27" spans="1:2" x14ac:dyDescent="0.25">
      <c r="A27" s="24" t="s">
        <v>151</v>
      </c>
      <c r="B27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224B-2000-48D5-BC1B-A95D2CDC28C7}">
  <dimension ref="A1:LE98"/>
  <sheetViews>
    <sheetView zoomScale="88" zoomScaleNormal="88" workbookViewId="0">
      <pane ySplit="9" topLeftCell="A41" activePane="bottomLeft" state="frozen"/>
      <selection pane="bottomLeft" activeCell="G40" sqref="G40"/>
    </sheetView>
  </sheetViews>
  <sheetFormatPr defaultColWidth="8.7109375" defaultRowHeight="15" x14ac:dyDescent="0.25"/>
  <cols>
    <col min="1" max="1" width="7.5703125" style="44" bestFit="1" customWidth="1"/>
    <col min="2" max="2" width="51.5703125" style="44" customWidth="1"/>
    <col min="3" max="3" width="24.7109375" style="44" customWidth="1"/>
    <col min="4" max="4" width="13.42578125" style="44" bestFit="1" customWidth="1"/>
    <col min="5" max="5" width="13.140625" style="44" customWidth="1"/>
    <col min="6" max="6" width="41.42578125" style="44" customWidth="1"/>
    <col min="7" max="7" width="17.42578125" style="44" customWidth="1"/>
    <col min="8" max="8" width="12.5703125" style="44" bestFit="1" customWidth="1"/>
    <col min="9" max="9" width="16.85546875" style="44" customWidth="1"/>
    <col min="10" max="10" width="9.85546875" style="44" bestFit="1" customWidth="1"/>
    <col min="11" max="12" width="9.140625" style="44" bestFit="1" customWidth="1"/>
    <col min="13" max="13" width="12" style="44" bestFit="1" customWidth="1"/>
    <col min="14" max="16384" width="8.7109375" style="44"/>
  </cols>
  <sheetData>
    <row r="1" spans="1:13" x14ac:dyDescent="0.25">
      <c r="A1" s="44">
        <v>2026</v>
      </c>
    </row>
    <row r="2" spans="1:13" x14ac:dyDescent="0.25">
      <c r="B2" s="117"/>
      <c r="C2" s="118"/>
      <c r="D2" s="118"/>
      <c r="E2" s="102"/>
      <c r="F2" s="102"/>
      <c r="G2" s="102"/>
    </row>
    <row r="3" spans="1:13" ht="27.95" customHeight="1" x14ac:dyDescent="0.25">
      <c r="B3" s="117"/>
      <c r="C3" s="119"/>
      <c r="D3" s="119"/>
      <c r="E3" s="103"/>
      <c r="F3" s="103"/>
      <c r="G3" s="103"/>
    </row>
    <row r="4" spans="1:13" x14ac:dyDescent="0.25">
      <c r="B4" s="117"/>
      <c r="C4" s="84"/>
      <c r="D4" s="85"/>
      <c r="E4" s="85"/>
      <c r="F4" s="85"/>
      <c r="G4" s="85"/>
    </row>
    <row r="7" spans="1:13" ht="22.5" customHeight="1" thickBot="1" x14ac:dyDescent="0.3">
      <c r="B7" s="23" t="s">
        <v>11</v>
      </c>
    </row>
    <row r="8" spans="1:13" ht="15.95" customHeight="1" thickBot="1" x14ac:dyDescent="0.3">
      <c r="D8" s="86" t="s">
        <v>12</v>
      </c>
      <c r="E8" s="87"/>
      <c r="F8" s="87"/>
      <c r="G8" s="87"/>
      <c r="H8" s="120">
        <v>2026</v>
      </c>
      <c r="I8" s="121"/>
    </row>
    <row r="9" spans="1:13" s="82" customFormat="1" ht="48" thickBot="1" x14ac:dyDescent="0.3">
      <c r="A9" s="88" t="s">
        <v>13</v>
      </c>
      <c r="B9" s="88" t="s">
        <v>14</v>
      </c>
      <c r="C9" s="56" t="s">
        <v>15</v>
      </c>
      <c r="D9" s="88" t="s">
        <v>16</v>
      </c>
      <c r="E9" s="56" t="s">
        <v>17</v>
      </c>
      <c r="F9" s="88" t="s">
        <v>18</v>
      </c>
      <c r="G9" s="88" t="s">
        <v>19</v>
      </c>
      <c r="H9" s="89" t="s">
        <v>20</v>
      </c>
      <c r="I9" s="56" t="s">
        <v>21</v>
      </c>
    </row>
    <row r="10" spans="1:13" s="82" customFormat="1" ht="20.25" x14ac:dyDescent="0.25">
      <c r="A10" s="90"/>
      <c r="B10" s="91" t="s">
        <v>22</v>
      </c>
      <c r="C10" s="49"/>
      <c r="D10" s="49"/>
      <c r="E10" s="49"/>
      <c r="F10" s="49"/>
      <c r="G10" s="49"/>
      <c r="H10" s="92"/>
      <c r="I10" s="49"/>
    </row>
    <row r="11" spans="1:13" x14ac:dyDescent="0.25">
      <c r="A11" s="78">
        <v>1</v>
      </c>
      <c r="B11" s="47" t="s">
        <v>23</v>
      </c>
      <c r="C11" s="25" t="s">
        <v>10</v>
      </c>
      <c r="D11" s="47" t="s">
        <v>24</v>
      </c>
      <c r="E11" s="60">
        <v>365</v>
      </c>
      <c r="F11" s="47" t="s">
        <v>25</v>
      </c>
      <c r="G11" s="47" t="s">
        <v>26</v>
      </c>
      <c r="H11" s="46">
        <v>46157</v>
      </c>
      <c r="I11" s="46">
        <f t="shared" ref="I11:I18" si="0">H11+E11</f>
        <v>46522</v>
      </c>
      <c r="J11" s="93"/>
    </row>
    <row r="12" spans="1:13" x14ac:dyDescent="0.25">
      <c r="A12" s="78">
        <v>2</v>
      </c>
      <c r="B12" s="47" t="s">
        <v>27</v>
      </c>
      <c r="C12" s="25" t="s">
        <v>10</v>
      </c>
      <c r="D12" s="47" t="s">
        <v>28</v>
      </c>
      <c r="E12" s="60">
        <f>365/4</f>
        <v>91.25</v>
      </c>
      <c r="F12" s="47" t="s">
        <v>25</v>
      </c>
      <c r="G12" s="47"/>
      <c r="H12" s="46">
        <v>46203</v>
      </c>
      <c r="I12" s="46">
        <f t="shared" si="0"/>
        <v>46294.25</v>
      </c>
    </row>
    <row r="13" spans="1:13" x14ac:dyDescent="0.25">
      <c r="A13" s="78">
        <v>3</v>
      </c>
      <c r="B13" s="47" t="s">
        <v>29</v>
      </c>
      <c r="C13" s="25" t="s">
        <v>10</v>
      </c>
      <c r="D13" s="47" t="s">
        <v>30</v>
      </c>
      <c r="E13" s="60">
        <v>365</v>
      </c>
      <c r="F13" s="47" t="s">
        <v>25</v>
      </c>
      <c r="G13" s="47" t="s">
        <v>26</v>
      </c>
      <c r="H13" s="46">
        <v>46164</v>
      </c>
      <c r="I13" s="46">
        <f t="shared" si="0"/>
        <v>46529</v>
      </c>
      <c r="J13" s="93"/>
      <c r="M13" s="94"/>
    </row>
    <row r="14" spans="1:13" x14ac:dyDescent="0.25">
      <c r="A14" s="78">
        <v>4</v>
      </c>
      <c r="B14" s="47" t="s">
        <v>31</v>
      </c>
      <c r="C14" s="25" t="s">
        <v>10</v>
      </c>
      <c r="D14" s="47" t="s">
        <v>32</v>
      </c>
      <c r="E14" s="60">
        <v>365</v>
      </c>
      <c r="F14" s="47" t="s">
        <v>25</v>
      </c>
      <c r="G14" s="47" t="s">
        <v>26</v>
      </c>
      <c r="H14" s="46">
        <v>46157</v>
      </c>
      <c r="I14" s="46">
        <f t="shared" si="0"/>
        <v>46522</v>
      </c>
    </row>
    <row r="15" spans="1:13" x14ac:dyDescent="0.25">
      <c r="A15" s="78">
        <v>5</v>
      </c>
      <c r="B15" s="47" t="s">
        <v>33</v>
      </c>
      <c r="C15" s="25" t="s">
        <v>10</v>
      </c>
      <c r="D15" s="47" t="s">
        <v>34</v>
      </c>
      <c r="E15" s="60">
        <v>365</v>
      </c>
      <c r="F15" s="47" t="s">
        <v>25</v>
      </c>
      <c r="G15" s="47" t="s">
        <v>26</v>
      </c>
      <c r="H15" s="46">
        <v>46157</v>
      </c>
      <c r="I15" s="46">
        <f t="shared" si="0"/>
        <v>46522</v>
      </c>
    </row>
    <row r="16" spans="1:13" x14ac:dyDescent="0.25">
      <c r="A16" s="78">
        <v>6</v>
      </c>
      <c r="B16" s="47" t="s">
        <v>35</v>
      </c>
      <c r="C16" s="25" t="s">
        <v>10</v>
      </c>
      <c r="D16" s="47" t="s">
        <v>36</v>
      </c>
      <c r="E16" s="60">
        <v>365</v>
      </c>
      <c r="F16" s="47" t="s">
        <v>25</v>
      </c>
      <c r="G16" s="47" t="s">
        <v>26</v>
      </c>
      <c r="H16" s="46">
        <v>46164</v>
      </c>
      <c r="I16" s="46">
        <f t="shared" si="0"/>
        <v>46529</v>
      </c>
      <c r="J16" s="93"/>
      <c r="M16" s="94"/>
    </row>
    <row r="17" spans="1:9" x14ac:dyDescent="0.25">
      <c r="A17" s="78">
        <v>8</v>
      </c>
      <c r="B17" s="47" t="s">
        <v>37</v>
      </c>
      <c r="C17" s="25" t="s">
        <v>10</v>
      </c>
      <c r="D17" s="47" t="s">
        <v>34</v>
      </c>
      <c r="E17" s="60">
        <f>365/4</f>
        <v>91.25</v>
      </c>
      <c r="F17" s="47" t="s">
        <v>25</v>
      </c>
      <c r="G17" s="47" t="s">
        <v>26</v>
      </c>
      <c r="H17" s="46">
        <v>46164</v>
      </c>
      <c r="I17" s="46">
        <f t="shared" si="0"/>
        <v>46255.25</v>
      </c>
    </row>
    <row r="18" spans="1:9" x14ac:dyDescent="0.25">
      <c r="A18" s="78">
        <v>9</v>
      </c>
      <c r="B18" s="47" t="s">
        <v>38</v>
      </c>
      <c r="C18" s="25" t="s">
        <v>10</v>
      </c>
      <c r="D18" s="47" t="s">
        <v>39</v>
      </c>
      <c r="E18" s="60">
        <f>365/4</f>
        <v>91.25</v>
      </c>
      <c r="F18" s="47" t="s">
        <v>25</v>
      </c>
      <c r="G18" s="47" t="s">
        <v>26</v>
      </c>
      <c r="H18" s="46">
        <v>46157</v>
      </c>
      <c r="I18" s="46">
        <f t="shared" si="0"/>
        <v>46248.25</v>
      </c>
    </row>
    <row r="19" spans="1:9" ht="20.25" x14ac:dyDescent="0.25">
      <c r="A19" s="78"/>
      <c r="B19" s="95" t="s">
        <v>40</v>
      </c>
      <c r="C19" s="25"/>
      <c r="D19" s="47"/>
      <c r="E19" s="60"/>
      <c r="F19" s="47"/>
      <c r="G19" s="47"/>
      <c r="H19" s="48"/>
    </row>
    <row r="20" spans="1:9" x14ac:dyDescent="0.25">
      <c r="A20" s="78">
        <v>1</v>
      </c>
      <c r="B20" s="47" t="s">
        <v>41</v>
      </c>
      <c r="C20" s="25" t="s">
        <v>10</v>
      </c>
      <c r="D20" s="47" t="s">
        <v>42</v>
      </c>
      <c r="E20" s="60">
        <f>365/2</f>
        <v>182.5</v>
      </c>
      <c r="F20" s="47" t="s">
        <v>43</v>
      </c>
      <c r="G20" s="47" t="s">
        <v>26</v>
      </c>
      <c r="H20" s="46">
        <v>46171</v>
      </c>
      <c r="I20" s="46">
        <f t="shared" ref="I20:I51" si="1">H20+E20</f>
        <v>46353.5</v>
      </c>
    </row>
    <row r="21" spans="1:9" x14ac:dyDescent="0.25">
      <c r="A21" s="78">
        <v>2</v>
      </c>
      <c r="B21" s="47" t="s">
        <v>44</v>
      </c>
      <c r="C21" s="25" t="s">
        <v>10</v>
      </c>
      <c r="D21" s="47" t="s">
        <v>34</v>
      </c>
      <c r="E21" s="60">
        <f>365/2</f>
        <v>182.5</v>
      </c>
      <c r="F21" s="47" t="s">
        <v>43</v>
      </c>
      <c r="G21" s="47"/>
      <c r="H21" s="46">
        <v>46192</v>
      </c>
      <c r="I21" s="46">
        <f t="shared" si="1"/>
        <v>46374.5</v>
      </c>
    </row>
    <row r="22" spans="1:9" x14ac:dyDescent="0.25">
      <c r="A22" s="78">
        <v>3</v>
      </c>
      <c r="B22" s="47" t="s">
        <v>46</v>
      </c>
      <c r="C22" s="25" t="s">
        <v>10</v>
      </c>
      <c r="D22" s="47" t="s">
        <v>42</v>
      </c>
      <c r="E22" s="60">
        <f>365/2</f>
        <v>182.5</v>
      </c>
      <c r="F22" s="47" t="s">
        <v>43</v>
      </c>
      <c r="G22" s="47" t="s">
        <v>26</v>
      </c>
      <c r="H22" s="46">
        <v>46171</v>
      </c>
      <c r="I22" s="46">
        <f t="shared" si="1"/>
        <v>46353.5</v>
      </c>
    </row>
    <row r="23" spans="1:9" x14ac:dyDescent="0.25">
      <c r="A23" s="78">
        <v>4</v>
      </c>
      <c r="B23" s="47" t="s">
        <v>47</v>
      </c>
      <c r="C23" s="25" t="s">
        <v>10</v>
      </c>
      <c r="D23" s="47" t="s">
        <v>24</v>
      </c>
      <c r="E23" s="60">
        <v>60</v>
      </c>
      <c r="F23" s="47" t="s">
        <v>25</v>
      </c>
      <c r="G23" s="47" t="s">
        <v>26</v>
      </c>
      <c r="H23" s="46">
        <v>46157</v>
      </c>
      <c r="I23" s="46">
        <f t="shared" si="1"/>
        <v>46217</v>
      </c>
    </row>
    <row r="24" spans="1:9" x14ac:dyDescent="0.25">
      <c r="A24" s="78">
        <v>5</v>
      </c>
      <c r="B24" s="47" t="s">
        <v>48</v>
      </c>
      <c r="C24" s="25" t="s">
        <v>10</v>
      </c>
      <c r="D24" s="47" t="s">
        <v>30</v>
      </c>
      <c r="E24" s="60">
        <v>60</v>
      </c>
      <c r="F24" s="47" t="s">
        <v>25</v>
      </c>
      <c r="G24" s="47"/>
      <c r="H24" s="46">
        <v>46164</v>
      </c>
      <c r="I24" s="46">
        <f t="shared" si="1"/>
        <v>46224</v>
      </c>
    </row>
    <row r="25" spans="1:9" x14ac:dyDescent="0.25">
      <c r="A25" s="78">
        <v>6</v>
      </c>
      <c r="B25" s="47" t="s">
        <v>49</v>
      </c>
      <c r="C25" s="25" t="s">
        <v>10</v>
      </c>
      <c r="D25" s="47" t="s">
        <v>50</v>
      </c>
      <c r="E25" s="60">
        <f>365/2</f>
        <v>182.5</v>
      </c>
      <c r="F25" s="47" t="s">
        <v>43</v>
      </c>
      <c r="G25" s="47" t="s">
        <v>26</v>
      </c>
      <c r="H25" s="46">
        <v>46164</v>
      </c>
      <c r="I25" s="46">
        <f t="shared" si="1"/>
        <v>46346.5</v>
      </c>
    </row>
    <row r="26" spans="1:9" x14ac:dyDescent="0.25">
      <c r="A26" s="78">
        <v>7</v>
      </c>
      <c r="B26" s="47" t="s">
        <v>51</v>
      </c>
      <c r="C26" s="25" t="s">
        <v>10</v>
      </c>
      <c r="D26" s="47" t="s">
        <v>52</v>
      </c>
      <c r="E26" s="60">
        <v>365</v>
      </c>
      <c r="F26" s="47" t="s">
        <v>43</v>
      </c>
      <c r="G26" s="47"/>
      <c r="H26" s="46">
        <v>46213</v>
      </c>
      <c r="I26" s="46">
        <f t="shared" si="1"/>
        <v>46578</v>
      </c>
    </row>
    <row r="27" spans="1:9" x14ac:dyDescent="0.25">
      <c r="A27" s="78">
        <v>8</v>
      </c>
      <c r="B27" s="47" t="s">
        <v>53</v>
      </c>
      <c r="C27" s="25" t="s">
        <v>10</v>
      </c>
      <c r="D27" s="47" t="s">
        <v>42</v>
      </c>
      <c r="E27" s="60">
        <f>365/2</f>
        <v>182.5</v>
      </c>
      <c r="F27" s="47"/>
      <c r="G27" s="47" t="s">
        <v>26</v>
      </c>
      <c r="H27" s="46">
        <v>46171</v>
      </c>
      <c r="I27" s="46">
        <f t="shared" si="1"/>
        <v>46353.5</v>
      </c>
    </row>
    <row r="28" spans="1:9" x14ac:dyDescent="0.25">
      <c r="A28" s="78">
        <v>9</v>
      </c>
      <c r="B28" s="47" t="s">
        <v>54</v>
      </c>
      <c r="C28" s="25" t="s">
        <v>10</v>
      </c>
      <c r="D28" s="47" t="s">
        <v>55</v>
      </c>
      <c r="E28" s="60">
        <v>365</v>
      </c>
      <c r="F28" s="47"/>
      <c r="G28" s="47" t="s">
        <v>26</v>
      </c>
      <c r="H28" s="46">
        <v>46171</v>
      </c>
      <c r="I28" s="46">
        <f t="shared" si="1"/>
        <v>46536</v>
      </c>
    </row>
    <row r="29" spans="1:9" x14ac:dyDescent="0.25">
      <c r="A29" s="78">
        <v>10</v>
      </c>
      <c r="B29" s="47" t="s">
        <v>56</v>
      </c>
      <c r="C29" s="25" t="s">
        <v>10</v>
      </c>
      <c r="D29" s="47" t="s">
        <v>42</v>
      </c>
      <c r="E29" s="60">
        <f t="shared" ref="E29:E40" si="2">365/2</f>
        <v>182.5</v>
      </c>
      <c r="F29" s="47" t="s">
        <v>43</v>
      </c>
      <c r="G29" s="47" t="s">
        <v>26</v>
      </c>
      <c r="H29" s="46">
        <v>46171</v>
      </c>
      <c r="I29" s="46">
        <f t="shared" si="1"/>
        <v>46353.5</v>
      </c>
    </row>
    <row r="30" spans="1:9" x14ac:dyDescent="0.25">
      <c r="A30" s="78">
        <v>11</v>
      </c>
      <c r="B30" s="47" t="s">
        <v>57</v>
      </c>
      <c r="C30" s="25" t="s">
        <v>10</v>
      </c>
      <c r="D30" s="47" t="s">
        <v>55</v>
      </c>
      <c r="E30" s="60">
        <f t="shared" si="2"/>
        <v>182.5</v>
      </c>
      <c r="F30" s="47" t="s">
        <v>43</v>
      </c>
      <c r="G30" s="47" t="s">
        <v>26</v>
      </c>
      <c r="H30" s="46">
        <v>46171</v>
      </c>
      <c r="I30" s="46">
        <f t="shared" si="1"/>
        <v>46353.5</v>
      </c>
    </row>
    <row r="31" spans="1:9" x14ac:dyDescent="0.25">
      <c r="A31" s="78">
        <v>12</v>
      </c>
      <c r="B31" s="47" t="s">
        <v>58</v>
      </c>
      <c r="C31" s="25" t="s">
        <v>10</v>
      </c>
      <c r="D31" s="47" t="s">
        <v>30</v>
      </c>
      <c r="E31" s="60">
        <f t="shared" si="2"/>
        <v>182.5</v>
      </c>
      <c r="F31" s="47" t="s">
        <v>43</v>
      </c>
      <c r="G31" s="47" t="s">
        <v>26</v>
      </c>
      <c r="H31" s="46">
        <v>46148</v>
      </c>
      <c r="I31" s="46">
        <f t="shared" si="1"/>
        <v>46330.5</v>
      </c>
    </row>
    <row r="32" spans="1:9" x14ac:dyDescent="0.25">
      <c r="A32" s="78">
        <v>13</v>
      </c>
      <c r="B32" s="47" t="s">
        <v>59</v>
      </c>
      <c r="C32" s="25" t="s">
        <v>10</v>
      </c>
      <c r="D32" s="47" t="s">
        <v>42</v>
      </c>
      <c r="E32" s="60">
        <f t="shared" si="2"/>
        <v>182.5</v>
      </c>
      <c r="F32" s="47" t="s">
        <v>43</v>
      </c>
      <c r="G32" s="47" t="s">
        <v>26</v>
      </c>
      <c r="H32" s="46">
        <v>46171</v>
      </c>
      <c r="I32" s="46">
        <f t="shared" si="1"/>
        <v>46353.5</v>
      </c>
    </row>
    <row r="33" spans="1:9" x14ac:dyDescent="0.25">
      <c r="A33" s="78">
        <v>14</v>
      </c>
      <c r="B33" s="47" t="s">
        <v>152</v>
      </c>
      <c r="C33" s="25" t="s">
        <v>10</v>
      </c>
      <c r="D33" s="47" t="s">
        <v>61</v>
      </c>
      <c r="E33" s="60">
        <f t="shared" si="2"/>
        <v>182.5</v>
      </c>
      <c r="F33" s="47" t="s">
        <v>43</v>
      </c>
      <c r="G33" s="47"/>
      <c r="H33" s="46">
        <v>46171</v>
      </c>
      <c r="I33" s="46">
        <f t="shared" si="1"/>
        <v>46353.5</v>
      </c>
    </row>
    <row r="34" spans="1:9" x14ac:dyDescent="0.25">
      <c r="A34" s="78">
        <v>15</v>
      </c>
      <c r="B34" s="47" t="s">
        <v>62</v>
      </c>
      <c r="C34" s="25" t="s">
        <v>10</v>
      </c>
      <c r="D34" s="47" t="s">
        <v>63</v>
      </c>
      <c r="E34" s="60">
        <f t="shared" si="2"/>
        <v>182.5</v>
      </c>
      <c r="F34" s="47" t="s">
        <v>25</v>
      </c>
      <c r="G34" s="47" t="s">
        <v>26</v>
      </c>
      <c r="H34" s="46">
        <v>46164</v>
      </c>
      <c r="I34" s="46">
        <f t="shared" si="1"/>
        <v>46346.5</v>
      </c>
    </row>
    <row r="35" spans="1:9" x14ac:dyDescent="0.25">
      <c r="A35" s="78">
        <v>16</v>
      </c>
      <c r="B35" s="47" t="s">
        <v>64</v>
      </c>
      <c r="C35" s="25" t="s">
        <v>10</v>
      </c>
      <c r="D35" s="47" t="s">
        <v>63</v>
      </c>
      <c r="E35" s="60">
        <f t="shared" si="2"/>
        <v>182.5</v>
      </c>
      <c r="F35" s="47" t="s">
        <v>25</v>
      </c>
      <c r="G35" s="47" t="s">
        <v>26</v>
      </c>
      <c r="H35" s="46">
        <v>46164</v>
      </c>
      <c r="I35" s="46">
        <f t="shared" si="1"/>
        <v>46346.5</v>
      </c>
    </row>
    <row r="36" spans="1:9" x14ac:dyDescent="0.25">
      <c r="A36" s="78">
        <v>17</v>
      </c>
      <c r="B36" s="47" t="s">
        <v>65</v>
      </c>
      <c r="C36" s="25" t="s">
        <v>10</v>
      </c>
      <c r="D36" s="47" t="s">
        <v>63</v>
      </c>
      <c r="E36" s="60">
        <f t="shared" si="2"/>
        <v>182.5</v>
      </c>
      <c r="F36" s="47" t="s">
        <v>25</v>
      </c>
      <c r="G36" s="47" t="s">
        <v>26</v>
      </c>
      <c r="H36" s="46">
        <v>46164</v>
      </c>
      <c r="I36" s="46">
        <f t="shared" si="1"/>
        <v>46346.5</v>
      </c>
    </row>
    <row r="37" spans="1:9" x14ac:dyDescent="0.25">
      <c r="A37" s="78">
        <v>18</v>
      </c>
      <c r="B37" s="47" t="s">
        <v>66</v>
      </c>
      <c r="C37" s="25" t="s">
        <v>10</v>
      </c>
      <c r="D37" s="47" t="s">
        <v>36</v>
      </c>
      <c r="E37" s="60">
        <f t="shared" si="2"/>
        <v>182.5</v>
      </c>
      <c r="F37" s="47" t="s">
        <v>43</v>
      </c>
      <c r="G37" s="47" t="s">
        <v>26</v>
      </c>
      <c r="H37" s="46">
        <v>46164</v>
      </c>
      <c r="I37" s="46">
        <f t="shared" si="1"/>
        <v>46346.5</v>
      </c>
    </row>
    <row r="38" spans="1:9" x14ac:dyDescent="0.25">
      <c r="A38" s="78">
        <v>19</v>
      </c>
      <c r="B38" s="47" t="s">
        <v>67</v>
      </c>
      <c r="C38" s="25" t="s">
        <v>10</v>
      </c>
      <c r="D38" s="47" t="s">
        <v>32</v>
      </c>
      <c r="E38" s="60">
        <f t="shared" si="2"/>
        <v>182.5</v>
      </c>
      <c r="F38" s="47" t="s">
        <v>43</v>
      </c>
      <c r="G38" s="47" t="s">
        <v>26</v>
      </c>
      <c r="H38" s="46">
        <v>46171</v>
      </c>
      <c r="I38" s="46">
        <f t="shared" si="1"/>
        <v>46353.5</v>
      </c>
    </row>
    <row r="39" spans="1:9" x14ac:dyDescent="0.25">
      <c r="A39" s="78">
        <v>20</v>
      </c>
      <c r="B39" s="47" t="s">
        <v>68</v>
      </c>
      <c r="C39" s="25" t="s">
        <v>10</v>
      </c>
      <c r="D39" s="47" t="s">
        <v>61</v>
      </c>
      <c r="E39" s="60">
        <f t="shared" si="2"/>
        <v>182.5</v>
      </c>
      <c r="F39" s="47" t="s">
        <v>25</v>
      </c>
      <c r="G39" s="47"/>
      <c r="H39" s="46">
        <v>46171</v>
      </c>
      <c r="I39" s="46">
        <f t="shared" si="1"/>
        <v>46353.5</v>
      </c>
    </row>
    <row r="40" spans="1:9" x14ac:dyDescent="0.25">
      <c r="A40" s="78">
        <v>21</v>
      </c>
      <c r="B40" s="47" t="s">
        <v>69</v>
      </c>
      <c r="C40" s="25" t="s">
        <v>10</v>
      </c>
      <c r="D40" s="47" t="s">
        <v>70</v>
      </c>
      <c r="E40" s="60">
        <f t="shared" si="2"/>
        <v>182.5</v>
      </c>
      <c r="F40" s="47" t="s">
        <v>25</v>
      </c>
      <c r="G40" s="47"/>
      <c r="H40" s="46">
        <v>46171</v>
      </c>
      <c r="I40" s="46">
        <f t="shared" si="1"/>
        <v>46353.5</v>
      </c>
    </row>
    <row r="41" spans="1:9" x14ac:dyDescent="0.25">
      <c r="A41" s="78">
        <v>22</v>
      </c>
      <c r="B41" s="47" t="s">
        <v>71</v>
      </c>
      <c r="C41" s="25" t="s">
        <v>10</v>
      </c>
      <c r="D41" s="47" t="s">
        <v>50</v>
      </c>
      <c r="E41" s="60">
        <v>365</v>
      </c>
      <c r="F41" s="47" t="s">
        <v>43</v>
      </c>
      <c r="G41" s="47" t="s">
        <v>26</v>
      </c>
      <c r="H41" s="46">
        <v>46157</v>
      </c>
      <c r="I41" s="46">
        <f t="shared" si="1"/>
        <v>46522</v>
      </c>
    </row>
    <row r="42" spans="1:9" x14ac:dyDescent="0.25">
      <c r="A42" s="78">
        <v>23</v>
      </c>
      <c r="B42" s="47" t="s">
        <v>72</v>
      </c>
      <c r="C42" s="25" t="s">
        <v>10</v>
      </c>
      <c r="D42" s="47" t="s">
        <v>73</v>
      </c>
      <c r="E42" s="60">
        <f>365/4</f>
        <v>91.25</v>
      </c>
      <c r="F42" s="47" t="s">
        <v>25</v>
      </c>
      <c r="G42" s="47"/>
      <c r="H42" s="46">
        <v>46188</v>
      </c>
      <c r="I42" s="46">
        <f t="shared" si="1"/>
        <v>46279.25</v>
      </c>
    </row>
    <row r="43" spans="1:9" x14ac:dyDescent="0.25">
      <c r="A43" s="78">
        <v>24</v>
      </c>
      <c r="B43" s="47" t="s">
        <v>74</v>
      </c>
      <c r="C43" s="25" t="s">
        <v>10</v>
      </c>
      <c r="D43" s="47" t="s">
        <v>75</v>
      </c>
      <c r="E43" s="60">
        <f>365/2</f>
        <v>182.5</v>
      </c>
      <c r="F43" s="47" t="s">
        <v>43</v>
      </c>
      <c r="G43" s="47"/>
      <c r="H43" s="46">
        <v>46164</v>
      </c>
      <c r="I43" s="46">
        <f t="shared" si="1"/>
        <v>46346.5</v>
      </c>
    </row>
    <row r="44" spans="1:9" x14ac:dyDescent="0.25">
      <c r="A44" s="78">
        <v>25</v>
      </c>
      <c r="B44" s="47" t="s">
        <v>76</v>
      </c>
      <c r="C44" s="25" t="s">
        <v>10</v>
      </c>
      <c r="D44" s="47" t="s">
        <v>30</v>
      </c>
      <c r="E44" s="60">
        <v>365</v>
      </c>
      <c r="F44" s="47" t="s">
        <v>43</v>
      </c>
      <c r="G44" s="47"/>
      <c r="H44" s="46">
        <v>46164</v>
      </c>
      <c r="I44" s="46">
        <f t="shared" si="1"/>
        <v>46529</v>
      </c>
    </row>
    <row r="45" spans="1:9" x14ac:dyDescent="0.25">
      <c r="A45" s="78">
        <v>26</v>
      </c>
      <c r="B45" s="47" t="s">
        <v>77</v>
      </c>
      <c r="C45" s="25" t="s">
        <v>10</v>
      </c>
      <c r="D45" s="47" t="s">
        <v>61</v>
      </c>
      <c r="E45" s="60">
        <v>365</v>
      </c>
      <c r="F45" s="47" t="s">
        <v>43</v>
      </c>
      <c r="G45" s="47" t="s">
        <v>26</v>
      </c>
      <c r="H45" s="46">
        <v>46164</v>
      </c>
      <c r="I45" s="46">
        <f t="shared" si="1"/>
        <v>46529</v>
      </c>
    </row>
    <row r="46" spans="1:9" x14ac:dyDescent="0.25">
      <c r="A46" s="78">
        <v>27</v>
      </c>
      <c r="B46" s="47" t="s">
        <v>78</v>
      </c>
      <c r="C46" s="25" t="s">
        <v>10</v>
      </c>
      <c r="D46" s="47" t="s">
        <v>42</v>
      </c>
      <c r="E46" s="60">
        <v>365</v>
      </c>
      <c r="F46" s="47" t="s">
        <v>43</v>
      </c>
      <c r="G46" s="47" t="s">
        <v>26</v>
      </c>
      <c r="H46" s="46">
        <v>46171</v>
      </c>
      <c r="I46" s="46">
        <f t="shared" si="1"/>
        <v>46536</v>
      </c>
    </row>
    <row r="47" spans="1:9" x14ac:dyDescent="0.25">
      <c r="A47" s="78">
        <v>28</v>
      </c>
      <c r="B47" s="47" t="s">
        <v>79</v>
      </c>
      <c r="C47" s="25" t="s">
        <v>10</v>
      </c>
      <c r="D47" s="47" t="s">
        <v>63</v>
      </c>
      <c r="E47" s="60">
        <v>365</v>
      </c>
      <c r="F47" s="47" t="s">
        <v>25</v>
      </c>
      <c r="G47" s="47"/>
      <c r="H47" s="46">
        <v>46171</v>
      </c>
      <c r="I47" s="46">
        <f t="shared" si="1"/>
        <v>46536</v>
      </c>
    </row>
    <row r="48" spans="1:9" x14ac:dyDescent="0.25">
      <c r="A48" s="78">
        <v>29</v>
      </c>
      <c r="B48" s="47" t="s">
        <v>80</v>
      </c>
      <c r="C48" s="25" t="s">
        <v>10</v>
      </c>
      <c r="D48" s="47" t="s">
        <v>81</v>
      </c>
      <c r="E48" s="60">
        <f>365/2</f>
        <v>182.5</v>
      </c>
      <c r="F48" s="47"/>
      <c r="G48" s="47" t="s">
        <v>26</v>
      </c>
      <c r="H48" s="46">
        <v>46157</v>
      </c>
      <c r="I48" s="46">
        <f t="shared" si="1"/>
        <v>46339.5</v>
      </c>
    </row>
    <row r="49" spans="1:9" x14ac:dyDescent="0.25">
      <c r="A49" s="78">
        <v>30</v>
      </c>
      <c r="B49" s="47" t="s">
        <v>82</v>
      </c>
      <c r="C49" s="25" t="s">
        <v>10</v>
      </c>
      <c r="D49" s="47" t="s">
        <v>83</v>
      </c>
      <c r="E49" s="60">
        <f>365/2</f>
        <v>182.5</v>
      </c>
      <c r="F49" s="47" t="s">
        <v>25</v>
      </c>
      <c r="G49" s="47"/>
      <c r="H49" s="46">
        <v>46164</v>
      </c>
      <c r="I49" s="46">
        <f t="shared" si="1"/>
        <v>46346.5</v>
      </c>
    </row>
    <row r="50" spans="1:9" x14ac:dyDescent="0.25">
      <c r="A50" s="78">
        <v>31</v>
      </c>
      <c r="B50" s="47" t="s">
        <v>84</v>
      </c>
      <c r="C50" s="25" t="s">
        <v>10</v>
      </c>
      <c r="D50" s="47" t="s">
        <v>73</v>
      </c>
      <c r="E50" s="60">
        <f>365/2</f>
        <v>182.5</v>
      </c>
      <c r="F50" s="47" t="s">
        <v>25</v>
      </c>
      <c r="G50" s="47" t="s">
        <v>26</v>
      </c>
      <c r="H50" s="46">
        <v>46167</v>
      </c>
      <c r="I50" s="46">
        <f t="shared" si="1"/>
        <v>46349.5</v>
      </c>
    </row>
    <row r="51" spans="1:9" x14ac:dyDescent="0.25">
      <c r="A51" s="78">
        <v>32</v>
      </c>
      <c r="B51" s="47" t="s">
        <v>85</v>
      </c>
      <c r="C51" s="25" t="s">
        <v>10</v>
      </c>
      <c r="D51" s="47" t="s">
        <v>83</v>
      </c>
      <c r="E51" s="60">
        <f>365/2</f>
        <v>182.5</v>
      </c>
      <c r="F51" s="47" t="s">
        <v>153</v>
      </c>
      <c r="G51" s="47"/>
      <c r="H51" s="46">
        <v>46185</v>
      </c>
      <c r="I51" s="46">
        <f t="shared" si="1"/>
        <v>46367.5</v>
      </c>
    </row>
    <row r="52" spans="1:9" x14ac:dyDescent="0.25">
      <c r="A52" s="78">
        <v>33</v>
      </c>
      <c r="B52" s="47" t="s">
        <v>86</v>
      </c>
      <c r="C52" s="25" t="s">
        <v>10</v>
      </c>
      <c r="D52" s="47" t="s">
        <v>36</v>
      </c>
      <c r="E52" s="60">
        <f>365/2</f>
        <v>182.5</v>
      </c>
      <c r="F52" s="47" t="s">
        <v>25</v>
      </c>
      <c r="G52" s="47"/>
      <c r="H52" s="46">
        <v>46164</v>
      </c>
      <c r="I52" s="46">
        <f t="shared" ref="I52:I76" si="3">H52+E52</f>
        <v>46346.5</v>
      </c>
    </row>
    <row r="53" spans="1:9" x14ac:dyDescent="0.25">
      <c r="A53" s="78">
        <v>34</v>
      </c>
      <c r="B53" s="47" t="s">
        <v>87</v>
      </c>
      <c r="C53" s="25" t="s">
        <v>10</v>
      </c>
      <c r="D53" s="47" t="s">
        <v>50</v>
      </c>
      <c r="E53" s="60">
        <v>365</v>
      </c>
      <c r="F53" s="47"/>
      <c r="G53" s="47" t="s">
        <v>26</v>
      </c>
      <c r="H53" s="46">
        <v>46164</v>
      </c>
      <c r="I53" s="46">
        <f t="shared" si="3"/>
        <v>46529</v>
      </c>
    </row>
    <row r="54" spans="1:9" x14ac:dyDescent="0.25">
      <c r="A54" s="78">
        <v>35</v>
      </c>
      <c r="B54" s="47" t="s">
        <v>88</v>
      </c>
      <c r="C54" s="25" t="s">
        <v>10</v>
      </c>
      <c r="D54" s="47" t="s">
        <v>75</v>
      </c>
      <c r="E54" s="60">
        <v>365</v>
      </c>
      <c r="F54" s="47" t="s">
        <v>43</v>
      </c>
      <c r="G54" s="47"/>
      <c r="H54" s="46">
        <v>46164</v>
      </c>
      <c r="I54" s="46">
        <f t="shared" si="3"/>
        <v>46529</v>
      </c>
    </row>
    <row r="55" spans="1:9" x14ac:dyDescent="0.25">
      <c r="A55" s="78">
        <v>36</v>
      </c>
      <c r="B55" s="47" t="s">
        <v>89</v>
      </c>
      <c r="C55" s="25" t="s">
        <v>10</v>
      </c>
      <c r="D55" s="47" t="s">
        <v>63</v>
      </c>
      <c r="E55" s="60">
        <f>365/4</f>
        <v>91.25</v>
      </c>
      <c r="F55" s="47"/>
      <c r="G55" s="47" t="s">
        <v>26</v>
      </c>
      <c r="H55" s="46">
        <v>46164</v>
      </c>
      <c r="I55" s="46">
        <f t="shared" si="3"/>
        <v>46255.25</v>
      </c>
    </row>
    <row r="56" spans="1:9" x14ac:dyDescent="0.25">
      <c r="A56" s="78">
        <v>37</v>
      </c>
      <c r="B56" s="47" t="s">
        <v>154</v>
      </c>
      <c r="C56" s="25" t="s">
        <v>10</v>
      </c>
      <c r="D56" s="47" t="s">
        <v>91</v>
      </c>
      <c r="E56" s="60">
        <v>365</v>
      </c>
      <c r="F56" s="47"/>
      <c r="G56" s="47" t="s">
        <v>26</v>
      </c>
      <c r="H56" s="46">
        <v>46156</v>
      </c>
      <c r="I56" s="46">
        <f t="shared" si="3"/>
        <v>46521</v>
      </c>
    </row>
    <row r="57" spans="1:9" x14ac:dyDescent="0.25">
      <c r="A57" s="78">
        <v>38</v>
      </c>
      <c r="B57" s="47" t="s">
        <v>92</v>
      </c>
      <c r="C57" s="25" t="s">
        <v>10</v>
      </c>
      <c r="D57" s="47" t="s">
        <v>55</v>
      </c>
      <c r="E57" s="60">
        <f>365/2</f>
        <v>182.5</v>
      </c>
      <c r="F57" s="47"/>
      <c r="G57" s="47" t="s">
        <v>26</v>
      </c>
      <c r="H57" s="46">
        <v>46171</v>
      </c>
      <c r="I57" s="46">
        <f t="shared" si="3"/>
        <v>46353.5</v>
      </c>
    </row>
    <row r="58" spans="1:9" x14ac:dyDescent="0.25">
      <c r="A58" s="78">
        <v>39</v>
      </c>
      <c r="B58" s="47" t="s">
        <v>93</v>
      </c>
      <c r="C58" s="25" t="s">
        <v>10</v>
      </c>
      <c r="D58" s="47" t="s">
        <v>30</v>
      </c>
      <c r="E58" s="60">
        <v>365</v>
      </c>
      <c r="F58" s="47" t="s">
        <v>25</v>
      </c>
      <c r="G58" s="47"/>
      <c r="H58" s="46">
        <v>46164</v>
      </c>
      <c r="I58" s="46">
        <f t="shared" si="3"/>
        <v>46529</v>
      </c>
    </row>
    <row r="59" spans="1:9" x14ac:dyDescent="0.25">
      <c r="A59" s="78">
        <v>40</v>
      </c>
      <c r="B59" s="47" t="s">
        <v>94</v>
      </c>
      <c r="C59" s="25" t="s">
        <v>10</v>
      </c>
      <c r="D59" s="47" t="s">
        <v>32</v>
      </c>
      <c r="E59" s="60">
        <f>365/2</f>
        <v>182.5</v>
      </c>
      <c r="F59" s="47"/>
      <c r="G59" s="47" t="s">
        <v>26</v>
      </c>
      <c r="H59" s="46">
        <v>46164</v>
      </c>
      <c r="I59" s="46">
        <f t="shared" si="3"/>
        <v>46346.5</v>
      </c>
    </row>
    <row r="60" spans="1:9" x14ac:dyDescent="0.25">
      <c r="A60" s="78">
        <v>41</v>
      </c>
      <c r="B60" s="47" t="s">
        <v>95</v>
      </c>
      <c r="C60" s="25" t="s">
        <v>10</v>
      </c>
      <c r="D60" s="47" t="s">
        <v>75</v>
      </c>
      <c r="E60" s="60">
        <v>365</v>
      </c>
      <c r="F60" s="47" t="s">
        <v>43</v>
      </c>
      <c r="G60" s="47"/>
      <c r="H60" s="46">
        <v>46164</v>
      </c>
      <c r="I60" s="46">
        <f t="shared" si="3"/>
        <v>46529</v>
      </c>
    </row>
    <row r="61" spans="1:9" x14ac:dyDescent="0.25">
      <c r="A61" s="78">
        <v>42</v>
      </c>
      <c r="B61" s="47" t="s">
        <v>96</v>
      </c>
      <c r="C61" s="25" t="s">
        <v>10</v>
      </c>
      <c r="D61" s="47" t="s">
        <v>97</v>
      </c>
      <c r="E61" s="60">
        <v>365</v>
      </c>
      <c r="F61" s="47"/>
      <c r="G61" s="47" t="s">
        <v>26</v>
      </c>
      <c r="H61" s="46">
        <v>46150</v>
      </c>
      <c r="I61" s="46">
        <f t="shared" si="3"/>
        <v>46515</v>
      </c>
    </row>
    <row r="62" spans="1:9" x14ac:dyDescent="0.25">
      <c r="A62" s="78">
        <v>43</v>
      </c>
      <c r="B62" s="47" t="s">
        <v>98</v>
      </c>
      <c r="C62" s="25" t="s">
        <v>10</v>
      </c>
      <c r="D62" s="47" t="s">
        <v>34</v>
      </c>
      <c r="E62" s="60">
        <f t="shared" ref="E62:E68" si="4">365/2</f>
        <v>182.5</v>
      </c>
      <c r="F62" s="47" t="s">
        <v>25</v>
      </c>
      <c r="G62" s="47" t="s">
        <v>26</v>
      </c>
      <c r="H62" s="46">
        <v>46164</v>
      </c>
      <c r="I62" s="46">
        <f t="shared" si="3"/>
        <v>46346.5</v>
      </c>
    </row>
    <row r="63" spans="1:9" x14ac:dyDescent="0.25">
      <c r="A63" s="78">
        <v>44</v>
      </c>
      <c r="B63" s="47" t="s">
        <v>99</v>
      </c>
      <c r="C63" s="25" t="s">
        <v>10</v>
      </c>
      <c r="D63" s="47" t="s">
        <v>75</v>
      </c>
      <c r="E63" s="60">
        <f t="shared" si="4"/>
        <v>182.5</v>
      </c>
      <c r="F63" s="47" t="s">
        <v>25</v>
      </c>
      <c r="G63" s="47"/>
      <c r="H63" s="46">
        <v>46164</v>
      </c>
      <c r="I63" s="46">
        <f t="shared" si="3"/>
        <v>46346.5</v>
      </c>
    </row>
    <row r="64" spans="1:9" x14ac:dyDescent="0.25">
      <c r="A64" s="78">
        <v>45</v>
      </c>
      <c r="B64" s="47" t="s">
        <v>100</v>
      </c>
      <c r="C64" s="25" t="s">
        <v>10</v>
      </c>
      <c r="D64" s="47" t="s">
        <v>50</v>
      </c>
      <c r="E64" s="60">
        <f t="shared" si="4"/>
        <v>182.5</v>
      </c>
      <c r="F64" s="47"/>
      <c r="G64" s="47" t="s">
        <v>26</v>
      </c>
      <c r="H64" s="46">
        <v>46164</v>
      </c>
      <c r="I64" s="46">
        <f t="shared" si="3"/>
        <v>46346.5</v>
      </c>
    </row>
    <row r="65" spans="1:317" x14ac:dyDescent="0.25">
      <c r="A65" s="78">
        <v>46</v>
      </c>
      <c r="B65" s="47" t="s">
        <v>101</v>
      </c>
      <c r="C65" s="25" t="s">
        <v>10</v>
      </c>
      <c r="D65" s="47" t="s">
        <v>70</v>
      </c>
      <c r="E65" s="60">
        <f t="shared" si="4"/>
        <v>182.5</v>
      </c>
      <c r="F65" s="47"/>
      <c r="G65" s="47" t="s">
        <v>26</v>
      </c>
      <c r="H65" s="46">
        <v>46164</v>
      </c>
      <c r="I65" s="46">
        <f t="shared" si="3"/>
        <v>46346.5</v>
      </c>
    </row>
    <row r="66" spans="1:317" x14ac:dyDescent="0.25">
      <c r="A66" s="78">
        <v>47</v>
      </c>
      <c r="B66" s="47" t="s">
        <v>102</v>
      </c>
      <c r="C66" s="25" t="s">
        <v>10</v>
      </c>
      <c r="D66" s="47" t="s">
        <v>55</v>
      </c>
      <c r="E66" s="60">
        <f t="shared" si="4"/>
        <v>182.5</v>
      </c>
      <c r="F66" s="47"/>
      <c r="G66" s="47" t="s">
        <v>26</v>
      </c>
      <c r="H66" s="46">
        <v>46171</v>
      </c>
      <c r="I66" s="46">
        <f t="shared" si="3"/>
        <v>46353.5</v>
      </c>
    </row>
    <row r="67" spans="1:317" x14ac:dyDescent="0.25">
      <c r="A67" s="78">
        <v>48</v>
      </c>
      <c r="B67" s="47" t="s">
        <v>103</v>
      </c>
      <c r="C67" s="25" t="s">
        <v>10</v>
      </c>
      <c r="D67" s="47" t="s">
        <v>34</v>
      </c>
      <c r="E67" s="60">
        <f t="shared" si="4"/>
        <v>182.5</v>
      </c>
      <c r="F67" s="47"/>
      <c r="G67" s="47"/>
      <c r="H67" s="46">
        <v>46192</v>
      </c>
      <c r="I67" s="46">
        <f t="shared" si="3"/>
        <v>46374.5</v>
      </c>
      <c r="J67" s="44" t="s">
        <v>155</v>
      </c>
    </row>
    <row r="68" spans="1:317" x14ac:dyDescent="0.25">
      <c r="A68" s="78">
        <v>49</v>
      </c>
      <c r="B68" s="47" t="s">
        <v>104</v>
      </c>
      <c r="C68" s="25" t="s">
        <v>10</v>
      </c>
      <c r="D68" s="47" t="s">
        <v>36</v>
      </c>
      <c r="E68" s="60">
        <f t="shared" si="4"/>
        <v>182.5</v>
      </c>
      <c r="F68" s="47"/>
      <c r="G68" s="47" t="s">
        <v>26</v>
      </c>
      <c r="H68" s="46">
        <v>46164</v>
      </c>
      <c r="I68" s="46">
        <f t="shared" si="3"/>
        <v>46346.5</v>
      </c>
    </row>
    <row r="69" spans="1:317" x14ac:dyDescent="0.25">
      <c r="A69" s="78">
        <v>50</v>
      </c>
      <c r="B69" s="47" t="s">
        <v>105</v>
      </c>
      <c r="C69" s="25" t="s">
        <v>10</v>
      </c>
      <c r="D69" s="47" t="s">
        <v>32</v>
      </c>
      <c r="E69" s="60">
        <v>30</v>
      </c>
      <c r="F69" s="47"/>
      <c r="G69" s="47" t="s">
        <v>26</v>
      </c>
      <c r="H69" s="46">
        <v>46195</v>
      </c>
      <c r="I69" s="46">
        <f>H69+E69</f>
        <v>46225</v>
      </c>
    </row>
    <row r="70" spans="1:317" x14ac:dyDescent="0.25">
      <c r="A70" s="78">
        <v>51</v>
      </c>
      <c r="B70" s="47" t="s">
        <v>106</v>
      </c>
      <c r="C70" s="25" t="s">
        <v>10</v>
      </c>
      <c r="D70" s="47" t="s">
        <v>30</v>
      </c>
      <c r="E70" s="60">
        <f>365/2</f>
        <v>182.5</v>
      </c>
      <c r="F70" s="47" t="s">
        <v>25</v>
      </c>
      <c r="G70" s="47"/>
      <c r="H70" s="46">
        <v>46164</v>
      </c>
      <c r="I70" s="46">
        <f t="shared" si="3"/>
        <v>46346.5</v>
      </c>
    </row>
    <row r="71" spans="1:317" x14ac:dyDescent="0.25">
      <c r="A71" s="78">
        <v>52</v>
      </c>
      <c r="B71" s="47" t="s">
        <v>107</v>
      </c>
      <c r="C71" s="25" t="s">
        <v>10</v>
      </c>
      <c r="D71" s="47" t="s">
        <v>108</v>
      </c>
      <c r="E71" s="60">
        <f>365/2</f>
        <v>182.5</v>
      </c>
      <c r="F71" s="47"/>
      <c r="G71" s="47" t="s">
        <v>26</v>
      </c>
      <c r="H71" s="46">
        <v>46156</v>
      </c>
      <c r="I71" s="46">
        <f t="shared" si="3"/>
        <v>46338.5</v>
      </c>
    </row>
    <row r="72" spans="1:317" x14ac:dyDescent="0.25">
      <c r="A72" s="78">
        <v>53</v>
      </c>
      <c r="B72" s="47" t="s">
        <v>109</v>
      </c>
      <c r="C72" s="25"/>
      <c r="D72" s="47" t="s">
        <v>91</v>
      </c>
      <c r="E72" s="60">
        <v>365</v>
      </c>
      <c r="F72" s="47" t="s">
        <v>25</v>
      </c>
      <c r="G72" s="47"/>
      <c r="H72" s="46">
        <v>46171</v>
      </c>
      <c r="I72" s="46">
        <f t="shared" si="3"/>
        <v>46536</v>
      </c>
    </row>
    <row r="73" spans="1:317" x14ac:dyDescent="0.25">
      <c r="A73" s="78">
        <v>54</v>
      </c>
      <c r="B73" s="47" t="s">
        <v>110</v>
      </c>
      <c r="C73" s="25" t="s">
        <v>10</v>
      </c>
      <c r="D73" s="47" t="s">
        <v>63</v>
      </c>
      <c r="E73" s="60">
        <f>365/2</f>
        <v>182.5</v>
      </c>
      <c r="F73" s="47" t="s">
        <v>43</v>
      </c>
      <c r="G73" s="47"/>
      <c r="H73" s="46">
        <v>46171</v>
      </c>
      <c r="I73" s="46">
        <f t="shared" si="3"/>
        <v>46353.5</v>
      </c>
    </row>
    <row r="74" spans="1:317" x14ac:dyDescent="0.25">
      <c r="A74" s="78">
        <v>55</v>
      </c>
      <c r="B74" s="47" t="s">
        <v>111</v>
      </c>
      <c r="C74" s="25" t="s">
        <v>10</v>
      </c>
      <c r="D74" s="47" t="s">
        <v>32</v>
      </c>
      <c r="E74" s="60">
        <v>365</v>
      </c>
      <c r="F74" s="47"/>
      <c r="G74" s="47" t="s">
        <v>26</v>
      </c>
      <c r="H74" s="46">
        <v>46157</v>
      </c>
      <c r="I74" s="46">
        <f t="shared" si="3"/>
        <v>46522</v>
      </c>
    </row>
    <row r="75" spans="1:317" x14ac:dyDescent="0.25">
      <c r="A75" s="78">
        <v>56</v>
      </c>
      <c r="B75" s="47" t="s">
        <v>112</v>
      </c>
      <c r="C75" s="25" t="s">
        <v>10</v>
      </c>
      <c r="D75" s="47" t="s">
        <v>42</v>
      </c>
      <c r="E75" s="60">
        <v>365</v>
      </c>
      <c r="F75" s="47" t="s">
        <v>25</v>
      </c>
      <c r="G75" s="47" t="s">
        <v>26</v>
      </c>
      <c r="H75" s="46">
        <v>46171</v>
      </c>
      <c r="I75" s="46">
        <f t="shared" si="3"/>
        <v>46536</v>
      </c>
    </row>
    <row r="76" spans="1:317" x14ac:dyDescent="0.25">
      <c r="A76" s="78">
        <v>57</v>
      </c>
      <c r="B76" s="47" t="s">
        <v>113</v>
      </c>
      <c r="C76" s="25" t="s">
        <v>10</v>
      </c>
      <c r="D76" s="47" t="s">
        <v>114</v>
      </c>
      <c r="E76" s="60">
        <f>365/2</f>
        <v>182.5</v>
      </c>
      <c r="F76" s="47" t="s">
        <v>25</v>
      </c>
      <c r="G76" s="47"/>
      <c r="H76" s="46">
        <v>46171</v>
      </c>
      <c r="I76" s="46">
        <f t="shared" si="3"/>
        <v>46353.5</v>
      </c>
    </row>
    <row r="77" spans="1:317" s="83" customFormat="1" x14ac:dyDescent="0.25">
      <c r="A77" s="78">
        <v>58</v>
      </c>
      <c r="B77" s="47" t="s">
        <v>156</v>
      </c>
      <c r="C77" s="25" t="s">
        <v>10</v>
      </c>
      <c r="D77" s="47" t="s">
        <v>83</v>
      </c>
      <c r="E77" s="60">
        <f>365/2</f>
        <v>182.5</v>
      </c>
      <c r="F77" s="75"/>
      <c r="G77" s="75"/>
      <c r="H77" s="96" t="s">
        <v>157</v>
      </c>
      <c r="I77" s="47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/>
      <c r="IC77" s="44"/>
      <c r="ID77" s="44"/>
      <c r="IE77" s="44"/>
      <c r="IF77" s="44"/>
      <c r="IG77" s="44"/>
      <c r="IH77" s="44"/>
      <c r="II77" s="44"/>
      <c r="IJ77" s="44"/>
      <c r="IK77" s="44"/>
      <c r="IL77" s="44"/>
      <c r="IM77" s="44"/>
      <c r="IN77" s="44"/>
      <c r="IO77" s="44"/>
      <c r="IP77" s="44"/>
      <c r="IQ77" s="44"/>
      <c r="IR77" s="44"/>
      <c r="IS77" s="44"/>
      <c r="IT77" s="44"/>
      <c r="IU77" s="44"/>
      <c r="IV77" s="44"/>
      <c r="IW77" s="44"/>
      <c r="IX77" s="44"/>
      <c r="IY77" s="44"/>
      <c r="IZ77" s="44"/>
      <c r="JA77" s="44"/>
      <c r="JB77" s="44"/>
      <c r="JC77" s="44"/>
      <c r="JD77" s="44"/>
      <c r="JE77" s="44"/>
      <c r="JF77" s="44"/>
      <c r="JG77" s="44"/>
      <c r="JH77" s="44"/>
      <c r="JI77" s="44"/>
      <c r="JJ77" s="44"/>
      <c r="JK77" s="44"/>
      <c r="JL77" s="44"/>
      <c r="JM77" s="44"/>
      <c r="JN77" s="44"/>
      <c r="JO77" s="44"/>
      <c r="JP77" s="44"/>
      <c r="JQ77" s="44"/>
      <c r="JR77" s="44"/>
      <c r="JS77" s="44"/>
      <c r="JT77" s="44"/>
      <c r="JU77" s="44"/>
      <c r="JV77" s="44"/>
      <c r="JW77" s="44"/>
      <c r="JX77" s="44"/>
      <c r="JY77" s="44"/>
      <c r="JZ77" s="44"/>
      <c r="KA77" s="44"/>
      <c r="KB77" s="44"/>
      <c r="KC77" s="44"/>
      <c r="KD77" s="44"/>
      <c r="KE77" s="44"/>
      <c r="KF77" s="44"/>
      <c r="KG77" s="44"/>
      <c r="KH77" s="44"/>
      <c r="KI77" s="44"/>
      <c r="KJ77" s="44"/>
      <c r="KK77" s="44"/>
      <c r="KL77" s="44"/>
      <c r="KM77" s="44"/>
      <c r="KN77" s="44"/>
      <c r="KO77" s="44"/>
      <c r="KP77" s="44"/>
      <c r="KQ77" s="44"/>
      <c r="KR77" s="44"/>
      <c r="KS77" s="44"/>
      <c r="KT77" s="44"/>
      <c r="KU77" s="44"/>
      <c r="KV77" s="44"/>
      <c r="KW77" s="44"/>
      <c r="KX77" s="44"/>
      <c r="KY77" s="44"/>
      <c r="KZ77" s="44"/>
      <c r="LA77" s="44"/>
      <c r="LB77" s="44"/>
      <c r="LC77" s="44"/>
      <c r="LD77" s="44"/>
      <c r="LE77" s="44"/>
    </row>
    <row r="78" spans="1:317" s="83" customFormat="1" x14ac:dyDescent="0.25">
      <c r="A78" s="78">
        <v>59</v>
      </c>
      <c r="B78" s="47" t="s">
        <v>115</v>
      </c>
      <c r="C78" s="25" t="s">
        <v>10</v>
      </c>
      <c r="D78" s="47" t="s">
        <v>114</v>
      </c>
      <c r="E78" s="60">
        <f>365/2</f>
        <v>182.5</v>
      </c>
      <c r="G78" s="47" t="s">
        <v>26</v>
      </c>
      <c r="H78" s="74">
        <v>46157</v>
      </c>
      <c r="I78" s="46">
        <f t="shared" ref="I78:I93" si="5">H78+E78</f>
        <v>46339.5</v>
      </c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  <c r="FK78" s="44"/>
      <c r="FL78" s="44"/>
      <c r="FM78" s="44"/>
      <c r="FN78" s="44"/>
      <c r="FO78" s="44"/>
      <c r="FP78" s="44"/>
      <c r="FQ78" s="44"/>
      <c r="FR78" s="44"/>
      <c r="FS78" s="44"/>
      <c r="FT78" s="44"/>
      <c r="FU78" s="44"/>
      <c r="FV78" s="44"/>
      <c r="FW78" s="44"/>
      <c r="FX78" s="44"/>
      <c r="FY78" s="44"/>
      <c r="FZ78" s="44"/>
      <c r="GA78" s="44"/>
      <c r="GB78" s="44"/>
      <c r="GC78" s="44"/>
      <c r="GD78" s="44"/>
      <c r="GE78" s="44"/>
      <c r="GF78" s="44"/>
      <c r="GG78" s="44"/>
      <c r="GH78" s="44"/>
      <c r="GI78" s="44"/>
      <c r="GJ78" s="44"/>
      <c r="GK78" s="44"/>
      <c r="GL78" s="44"/>
      <c r="GM78" s="44"/>
      <c r="GN78" s="44"/>
      <c r="GO78" s="44"/>
      <c r="GP78" s="44"/>
      <c r="GQ78" s="44"/>
      <c r="GR78" s="44"/>
      <c r="GS78" s="44"/>
      <c r="GT78" s="44"/>
      <c r="GU78" s="44"/>
      <c r="GV78" s="44"/>
      <c r="GW78" s="44"/>
      <c r="GX78" s="44"/>
      <c r="GY78" s="44"/>
      <c r="GZ78" s="44"/>
      <c r="HA78" s="44"/>
      <c r="HB78" s="44"/>
      <c r="HC78" s="44"/>
      <c r="HD78" s="44"/>
      <c r="HE78" s="44"/>
      <c r="HF78" s="44"/>
      <c r="HG78" s="44"/>
      <c r="HH78" s="44"/>
      <c r="HI78" s="44"/>
      <c r="HJ78" s="44"/>
      <c r="HK78" s="44"/>
      <c r="HL78" s="44"/>
      <c r="HM78" s="44"/>
      <c r="HN78" s="44"/>
      <c r="HO78" s="44"/>
      <c r="HP78" s="44"/>
      <c r="HQ78" s="44"/>
      <c r="HR78" s="44"/>
      <c r="HS78" s="44"/>
      <c r="HT78" s="44"/>
      <c r="HU78" s="44"/>
      <c r="HV78" s="44"/>
      <c r="HW78" s="44"/>
      <c r="HX78" s="44"/>
      <c r="HY78" s="44"/>
      <c r="HZ78" s="44"/>
      <c r="IA78" s="44"/>
      <c r="IB78" s="44"/>
      <c r="IC78" s="44"/>
      <c r="ID78" s="44"/>
      <c r="IE78" s="44"/>
      <c r="IF78" s="44"/>
      <c r="IG78" s="44"/>
      <c r="IH78" s="44"/>
      <c r="II78" s="44"/>
      <c r="IJ78" s="44"/>
      <c r="IK78" s="44"/>
      <c r="IL78" s="44"/>
      <c r="IM78" s="44"/>
      <c r="IN78" s="44"/>
      <c r="IO78" s="44"/>
      <c r="IP78" s="44"/>
      <c r="IQ78" s="44"/>
      <c r="IR78" s="44"/>
      <c r="IS78" s="44"/>
      <c r="IT78" s="44"/>
      <c r="IU78" s="44"/>
      <c r="IV78" s="44"/>
      <c r="IW78" s="44"/>
      <c r="IX78" s="44"/>
      <c r="IY78" s="44"/>
      <c r="IZ78" s="44"/>
      <c r="JA78" s="44"/>
      <c r="JB78" s="44"/>
      <c r="JC78" s="44"/>
      <c r="JD78" s="44"/>
      <c r="JE78" s="44"/>
      <c r="JF78" s="44"/>
      <c r="JG78" s="44"/>
      <c r="JH78" s="44"/>
      <c r="JI78" s="44"/>
      <c r="JJ78" s="44"/>
      <c r="JK78" s="44"/>
      <c r="JL78" s="44"/>
      <c r="JM78" s="44"/>
      <c r="JN78" s="44"/>
      <c r="JO78" s="44"/>
      <c r="JP78" s="44"/>
      <c r="JQ78" s="44"/>
      <c r="JR78" s="44"/>
      <c r="JS78" s="44"/>
      <c r="JT78" s="44"/>
      <c r="JU78" s="44"/>
      <c r="JV78" s="44"/>
      <c r="JW78" s="44"/>
      <c r="JX78" s="44"/>
      <c r="JY78" s="44"/>
      <c r="JZ78" s="44"/>
      <c r="KA78" s="44"/>
      <c r="KB78" s="44"/>
      <c r="KC78" s="44"/>
      <c r="KD78" s="44"/>
      <c r="KE78" s="44"/>
      <c r="KF78" s="44"/>
      <c r="KG78" s="44"/>
      <c r="KH78" s="44"/>
      <c r="KI78" s="44"/>
      <c r="KJ78" s="44"/>
      <c r="KK78" s="44"/>
      <c r="KL78" s="44"/>
      <c r="KM78" s="44"/>
      <c r="KN78" s="44"/>
      <c r="KO78" s="44"/>
      <c r="KP78" s="44"/>
      <c r="KQ78" s="44"/>
      <c r="KR78" s="44"/>
      <c r="KS78" s="44"/>
      <c r="KT78" s="44"/>
      <c r="KU78" s="44"/>
      <c r="KV78" s="44"/>
      <c r="KW78" s="44"/>
      <c r="KX78" s="44"/>
      <c r="KY78" s="44"/>
      <c r="KZ78" s="44"/>
      <c r="LA78" s="44"/>
      <c r="LB78" s="44"/>
      <c r="LC78" s="44"/>
      <c r="LD78" s="44"/>
      <c r="LE78" s="44"/>
    </row>
    <row r="79" spans="1:317" s="83" customFormat="1" x14ac:dyDescent="0.25">
      <c r="A79" s="78">
        <v>60</v>
      </c>
      <c r="B79" s="47" t="s">
        <v>116</v>
      </c>
      <c r="C79" s="25" t="s">
        <v>10</v>
      </c>
      <c r="D79" s="47" t="s">
        <v>50</v>
      </c>
      <c r="E79" s="60">
        <f>365/2</f>
        <v>182.5</v>
      </c>
      <c r="F79" s="47"/>
      <c r="G79" s="47" t="s">
        <v>26</v>
      </c>
      <c r="H79" s="46">
        <v>46164</v>
      </c>
      <c r="I79" s="46">
        <f t="shared" si="5"/>
        <v>46346.5</v>
      </c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  <c r="FL79" s="44"/>
      <c r="FM79" s="44"/>
      <c r="FN79" s="44"/>
      <c r="FO79" s="44"/>
      <c r="FP79" s="44"/>
      <c r="FQ79" s="44"/>
      <c r="FR79" s="44"/>
      <c r="FS79" s="44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/>
      <c r="HZ79" s="44"/>
      <c r="IA79" s="44"/>
      <c r="IB79" s="44"/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/>
      <c r="IP79" s="44"/>
      <c r="IQ79" s="44"/>
      <c r="IR79" s="44"/>
      <c r="IS79" s="44"/>
      <c r="IT79" s="44"/>
      <c r="IU79" s="44"/>
      <c r="IV79" s="44"/>
      <c r="IW79" s="44"/>
      <c r="IX79" s="44"/>
      <c r="IY79" s="44"/>
      <c r="IZ79" s="44"/>
      <c r="JA79" s="44"/>
      <c r="JB79" s="44"/>
      <c r="JC79" s="44"/>
      <c r="JD79" s="44"/>
      <c r="JE79" s="44"/>
      <c r="JF79" s="44"/>
      <c r="JG79" s="44"/>
      <c r="JH79" s="44"/>
      <c r="JI79" s="44"/>
      <c r="JJ79" s="44"/>
      <c r="JK79" s="44"/>
      <c r="JL79" s="44"/>
      <c r="JM79" s="44"/>
      <c r="JN79" s="44"/>
      <c r="JO79" s="44"/>
      <c r="JP79" s="44"/>
      <c r="JQ79" s="44"/>
      <c r="JR79" s="44"/>
      <c r="JS79" s="44"/>
      <c r="JT79" s="44"/>
      <c r="JU79" s="44"/>
      <c r="JV79" s="44"/>
      <c r="JW79" s="44"/>
      <c r="JX79" s="44"/>
      <c r="JY79" s="44"/>
      <c r="JZ79" s="44"/>
      <c r="KA79" s="44"/>
      <c r="KB79" s="44"/>
      <c r="KC79" s="44"/>
      <c r="KD79" s="44"/>
      <c r="KE79" s="44"/>
      <c r="KF79" s="44"/>
      <c r="KG79" s="44"/>
      <c r="KH79" s="44"/>
      <c r="KI79" s="44"/>
      <c r="KJ79" s="44"/>
      <c r="KK79" s="44"/>
      <c r="KL79" s="44"/>
      <c r="KM79" s="44"/>
      <c r="KN79" s="44"/>
      <c r="KO79" s="44"/>
      <c r="KP79" s="44"/>
      <c r="KQ79" s="44"/>
      <c r="KR79" s="44"/>
      <c r="KS79" s="44"/>
      <c r="KT79" s="44"/>
      <c r="KU79" s="44"/>
      <c r="KV79" s="44"/>
      <c r="KW79" s="44"/>
      <c r="KX79" s="44"/>
      <c r="KY79" s="44"/>
      <c r="KZ79" s="44"/>
      <c r="LA79" s="44"/>
      <c r="LB79" s="44"/>
      <c r="LC79" s="44"/>
      <c r="LD79" s="44"/>
      <c r="LE79" s="44"/>
    </row>
    <row r="80" spans="1:317" x14ac:dyDescent="0.25">
      <c r="A80" s="78">
        <v>61</v>
      </c>
      <c r="B80" s="47" t="s">
        <v>117</v>
      </c>
      <c r="C80" s="25" t="s">
        <v>10</v>
      </c>
      <c r="D80" s="47" t="s">
        <v>61</v>
      </c>
      <c r="E80" s="60">
        <f>365/2</f>
        <v>182.5</v>
      </c>
      <c r="F80" s="47" t="s">
        <v>43</v>
      </c>
      <c r="G80" s="47"/>
      <c r="H80" s="80">
        <v>46185</v>
      </c>
      <c r="I80" s="46">
        <f t="shared" si="5"/>
        <v>46367.5</v>
      </c>
    </row>
    <row r="81" spans="1:9" x14ac:dyDescent="0.25">
      <c r="A81" s="78">
        <v>62</v>
      </c>
      <c r="B81" s="47" t="s">
        <v>118</v>
      </c>
      <c r="C81" s="25" t="s">
        <v>10</v>
      </c>
      <c r="D81" s="47" t="s">
        <v>34</v>
      </c>
      <c r="E81" s="60">
        <v>365</v>
      </c>
      <c r="F81" s="47" t="s">
        <v>25</v>
      </c>
      <c r="G81" s="47"/>
      <c r="H81" s="80">
        <v>46164</v>
      </c>
      <c r="I81" s="46">
        <f t="shared" si="5"/>
        <v>46529</v>
      </c>
    </row>
    <row r="82" spans="1:9" x14ac:dyDescent="0.25">
      <c r="A82" s="78">
        <v>63</v>
      </c>
      <c r="B82" s="47" t="s">
        <v>119</v>
      </c>
      <c r="C82" s="25" t="s">
        <v>10</v>
      </c>
      <c r="D82" s="47" t="s">
        <v>120</v>
      </c>
      <c r="E82" s="60">
        <f>365/4</f>
        <v>91.25</v>
      </c>
      <c r="F82" s="47"/>
      <c r="G82" s="47" t="s">
        <v>26</v>
      </c>
      <c r="H82" s="80">
        <v>46164</v>
      </c>
      <c r="I82" s="46">
        <f t="shared" si="5"/>
        <v>46255.25</v>
      </c>
    </row>
    <row r="83" spans="1:9" x14ac:dyDescent="0.25">
      <c r="A83" s="78">
        <v>64</v>
      </c>
      <c r="B83" s="47" t="s">
        <v>121</v>
      </c>
      <c r="C83" s="25" t="s">
        <v>10</v>
      </c>
      <c r="D83" s="47" t="s">
        <v>120</v>
      </c>
      <c r="E83" s="60">
        <v>365</v>
      </c>
      <c r="F83" s="47"/>
      <c r="G83" s="47" t="s">
        <v>26</v>
      </c>
      <c r="H83" s="80">
        <v>46164</v>
      </c>
      <c r="I83" s="46">
        <f t="shared" si="5"/>
        <v>46529</v>
      </c>
    </row>
    <row r="84" spans="1:9" x14ac:dyDescent="0.25">
      <c r="A84" s="78">
        <v>65</v>
      </c>
      <c r="B84" s="47" t="s">
        <v>122</v>
      </c>
      <c r="C84" s="25" t="s">
        <v>10</v>
      </c>
      <c r="D84" s="47" t="s">
        <v>30</v>
      </c>
      <c r="E84" s="60">
        <f>365/2</f>
        <v>182.5</v>
      </c>
      <c r="F84" s="47" t="s">
        <v>25</v>
      </c>
      <c r="G84" s="47"/>
      <c r="H84" s="80">
        <v>46164</v>
      </c>
      <c r="I84" s="46">
        <f t="shared" si="5"/>
        <v>46346.5</v>
      </c>
    </row>
    <row r="85" spans="1:9" x14ac:dyDescent="0.25">
      <c r="A85" s="78">
        <v>66</v>
      </c>
      <c r="B85" s="47" t="s">
        <v>123</v>
      </c>
      <c r="C85" s="25" t="s">
        <v>10</v>
      </c>
      <c r="D85" s="47" t="s">
        <v>34</v>
      </c>
      <c r="E85" s="60">
        <v>365</v>
      </c>
      <c r="F85" s="47"/>
      <c r="G85" s="47"/>
      <c r="H85" s="74">
        <v>46185</v>
      </c>
      <c r="I85" s="46">
        <f t="shared" si="5"/>
        <v>46550</v>
      </c>
    </row>
    <row r="86" spans="1:9" x14ac:dyDescent="0.25">
      <c r="A86" s="78">
        <v>67</v>
      </c>
      <c r="B86" s="47" t="s">
        <v>124</v>
      </c>
      <c r="C86" s="25" t="s">
        <v>10</v>
      </c>
      <c r="D86" s="47" t="s">
        <v>34</v>
      </c>
      <c r="E86" s="60">
        <v>365</v>
      </c>
      <c r="F86" s="47"/>
      <c r="G86" s="47"/>
      <c r="H86" s="74">
        <v>46185</v>
      </c>
      <c r="I86" s="46">
        <f t="shared" si="5"/>
        <v>46550</v>
      </c>
    </row>
    <row r="87" spans="1:9" x14ac:dyDescent="0.25">
      <c r="A87" s="78">
        <v>68</v>
      </c>
      <c r="B87" s="47" t="s">
        <v>125</v>
      </c>
      <c r="C87" s="25" t="s">
        <v>10</v>
      </c>
      <c r="D87" s="47" t="s">
        <v>70</v>
      </c>
      <c r="E87" s="60">
        <v>365</v>
      </c>
      <c r="F87" s="47" t="s">
        <v>25</v>
      </c>
      <c r="G87" s="47" t="s">
        <v>26</v>
      </c>
      <c r="H87" s="80">
        <v>46171</v>
      </c>
      <c r="I87" s="46">
        <f t="shared" si="5"/>
        <v>46536</v>
      </c>
    </row>
    <row r="88" spans="1:9" x14ac:dyDescent="0.25">
      <c r="A88" s="78">
        <v>69</v>
      </c>
      <c r="B88" s="47" t="s">
        <v>126</v>
      </c>
      <c r="C88" s="25" t="s">
        <v>10</v>
      </c>
      <c r="D88" s="47" t="s">
        <v>91</v>
      </c>
      <c r="E88" s="47">
        <v>365</v>
      </c>
      <c r="F88" s="47"/>
      <c r="G88" s="47" t="s">
        <v>26</v>
      </c>
      <c r="H88" s="46">
        <v>46156</v>
      </c>
      <c r="I88" s="46">
        <f t="shared" si="5"/>
        <v>46521</v>
      </c>
    </row>
    <row r="89" spans="1:9" x14ac:dyDescent="0.25">
      <c r="A89" s="78">
        <v>70</v>
      </c>
      <c r="B89" s="47" t="s">
        <v>127</v>
      </c>
      <c r="C89" s="25" t="s">
        <v>10</v>
      </c>
      <c r="D89" s="47" t="s">
        <v>91</v>
      </c>
      <c r="E89" s="47">
        <v>365</v>
      </c>
      <c r="F89" s="47"/>
      <c r="G89" s="47" t="s">
        <v>26</v>
      </c>
      <c r="H89" s="46">
        <v>46156</v>
      </c>
      <c r="I89" s="46">
        <f t="shared" si="5"/>
        <v>46521</v>
      </c>
    </row>
    <row r="90" spans="1:9" x14ac:dyDescent="0.25">
      <c r="A90" s="78">
        <v>71</v>
      </c>
      <c r="B90" s="20" t="s">
        <v>128</v>
      </c>
      <c r="C90" s="25" t="s">
        <v>10</v>
      </c>
      <c r="D90" s="47" t="s">
        <v>91</v>
      </c>
      <c r="E90" s="47">
        <v>365</v>
      </c>
      <c r="F90" s="47"/>
      <c r="G90" s="47" t="s">
        <v>26</v>
      </c>
      <c r="H90" s="46">
        <v>46156</v>
      </c>
      <c r="I90" s="46">
        <f t="shared" si="5"/>
        <v>46521</v>
      </c>
    </row>
    <row r="91" spans="1:9" x14ac:dyDescent="0.25">
      <c r="A91" s="78">
        <v>72</v>
      </c>
      <c r="B91" s="45" t="s">
        <v>129</v>
      </c>
      <c r="C91" s="73" t="s">
        <v>10</v>
      </c>
      <c r="D91" s="45" t="s">
        <v>91</v>
      </c>
      <c r="E91" s="45">
        <v>365</v>
      </c>
      <c r="F91" s="45"/>
      <c r="G91" s="45" t="s">
        <v>26</v>
      </c>
      <c r="H91" s="79">
        <v>46156</v>
      </c>
      <c r="I91" s="79">
        <f t="shared" si="5"/>
        <v>46521</v>
      </c>
    </row>
    <row r="92" spans="1:9" x14ac:dyDescent="0.25">
      <c r="A92" s="78">
        <v>73</v>
      </c>
      <c r="B92" s="20" t="s">
        <v>130</v>
      </c>
      <c r="C92" s="25" t="s">
        <v>10</v>
      </c>
      <c r="D92" s="47" t="s">
        <v>91</v>
      </c>
      <c r="E92" s="97">
        <v>365</v>
      </c>
      <c r="F92" s="47"/>
      <c r="G92" s="47" t="s">
        <v>26</v>
      </c>
      <c r="H92" s="74">
        <v>46171</v>
      </c>
      <c r="I92" s="46">
        <f t="shared" si="5"/>
        <v>46536</v>
      </c>
    </row>
    <row r="93" spans="1:9" x14ac:dyDescent="0.25">
      <c r="A93" s="48">
        <v>74</v>
      </c>
      <c r="B93" s="47" t="s">
        <v>131</v>
      </c>
      <c r="C93" s="25" t="s">
        <v>10</v>
      </c>
      <c r="D93" s="47" t="s">
        <v>91</v>
      </c>
      <c r="E93" s="47">
        <v>365</v>
      </c>
      <c r="F93" s="47"/>
      <c r="G93" s="47" t="s">
        <v>26</v>
      </c>
      <c r="H93" s="74">
        <v>46164</v>
      </c>
      <c r="I93" s="46">
        <f t="shared" si="5"/>
        <v>46529</v>
      </c>
    </row>
    <row r="94" spans="1:9" x14ac:dyDescent="0.25">
      <c r="A94" s="47"/>
      <c r="B94" s="47"/>
      <c r="C94" s="47"/>
      <c r="D94" s="47"/>
      <c r="E94" s="47"/>
      <c r="F94" s="47"/>
      <c r="G94" s="47"/>
      <c r="H94" s="47"/>
      <c r="I94" s="47"/>
    </row>
    <row r="96" spans="1:9" ht="15.75" x14ac:dyDescent="0.25">
      <c r="A96" s="98" t="s">
        <v>140</v>
      </c>
      <c r="B96" s="99" t="s">
        <v>141</v>
      </c>
    </row>
    <row r="97" spans="1:2" ht="15.75" x14ac:dyDescent="0.25">
      <c r="A97" s="98" t="s">
        <v>142</v>
      </c>
      <c r="B97" s="99" t="s">
        <v>143</v>
      </c>
    </row>
    <row r="98" spans="1:2" x14ac:dyDescent="0.25">
      <c r="A98" s="100"/>
    </row>
  </sheetData>
  <autoFilter ref="A7:I93" xr:uid="{3C2DD3F0-61EB-4766-A44E-A21AFDD747EA}"/>
  <mergeCells count="4">
    <mergeCell ref="B2:B4"/>
    <mergeCell ref="C2:D2"/>
    <mergeCell ref="C3:D3"/>
    <mergeCell ref="H8:I8"/>
  </mergeCells>
  <conditionalFormatting sqref="I11:I18 I20:I93">
    <cfRule type="expression" dxfId="10" priority="11" stopIfTrue="1">
      <formula>I11&lt;TODAY()</formula>
    </cfRule>
    <cfRule type="expression" dxfId="9" priority="12">
      <formula>_xlfn.DAYS(I11,TODAY())&lt;E11/10</formula>
    </cfRule>
  </conditionalFormatting>
  <conditionalFormatting sqref="I12:I18">
    <cfRule type="expression" dxfId="8" priority="9">
      <formula>"+$L$20&lt;(E20/10)"</formula>
    </cfRule>
    <cfRule type="expression" dxfId="7" priority="10">
      <formula>$I$16&lt;TODAY()</formula>
    </cfRule>
  </conditionalFormatting>
  <conditionalFormatting sqref="I20:I76">
    <cfRule type="expression" dxfId="6" priority="7">
      <formula>"+$L$20&lt;(E20/10)"</formula>
    </cfRule>
    <cfRule type="expression" dxfId="5" priority="8">
      <formula>$I$16&lt;TODAY()</formula>
    </cfRule>
  </conditionalFormatting>
  <conditionalFormatting sqref="I78:I93">
    <cfRule type="expression" dxfId="4" priority="5">
      <formula>"+$L$20&lt;(E20/10)"</formula>
    </cfRule>
    <cfRule type="expression" dxfId="3" priority="6">
      <formula>$I$16&lt;TODAY()</formula>
    </cfRule>
  </conditionalFormatting>
  <hyperlinks>
    <hyperlink ref="C20" r:id="rId1" display="../../../../../../../../../../../../../:x:/r/sites/Global Server And Platform Operations/siops/Shared Documents/2 - OPERATIONS/System Refresh/Refresh Document Template/Runbook_SID_Refresh-TEMPLATE.xlsx?d=w527dbf15d8a945eea86d303425a75782&amp;csf=1&amp;web=1&amp;e=C99Psv" xr:uid="{99777623-6569-4AA1-9353-D68FA409BF16}"/>
    <hyperlink ref="C23" r:id="rId2" display="../../../../../../../../../../../../../:w:/r/sites/Global Server And Platform Operations/siops/Shared Documents/4 - DOCUMENTATION/Procedure/DecomissionProcedure.docx?d=w4b2b6e4d13994411bbcf645c5bb05592&amp;csf=1&amp;web=1&amp;e=oq8OVg" xr:uid="{7934344A-54CE-4CAF-BF10-71D66D10A8C6}"/>
    <hyperlink ref="C22" r:id="rId3" display="../../../../../../../../../../../../../:w:/r/sites/Global Server And Platform Operations/siops/Shared Documents/3 - PROJECTS/S4 HANA RAF/S9A_S91  TM0/Oracle_installation.docx?d=w0c0b98badfc3423d83f3fa9f5b86e4c3&amp;csf=1&amp;web=1&amp;e=m9PrVe" xr:uid="{0666EA0A-64BF-4052-84F5-B677DD3795D8}"/>
    <hyperlink ref="C21" r:id="rId4" display="../../../../../../../../../../../../../:w:/r/sites/Global Server And Platform Operations/siops/Shared Documents/3 - PROJECTS/S4 HANA General docs/Hana System build docs/S4 HANA system Installation document for S4 Project sytems.docx?d=w059aa74847b34c2fa4fde7480978cfb9&amp;csf=1&amp;web=1&amp;e=qcqVdA" xr:uid="{056BF78A-8A56-49D8-A6D1-5BEDE25D5D15}"/>
    <hyperlink ref="C24" r:id="rId5" display="../../../../../../../../../../../../../:p:/r/sites/Global Server And Platform Operations/siops/Shared Documents/4 - DOCUMENTATION/Procedure/Linde SAP BASIS Security Guidelines GSPO Basis.pptx?d=w2e5a3ba360324e848d975fb5cec90746&amp;csf=1&amp;web=1&amp;e=GV1vwn" xr:uid="{E69A3803-3CB8-43DF-B45D-A421CBEEE2DF}"/>
    <hyperlink ref="C27" r:id="rId6" display="../../../../../../../../../../../../../:w:/r/sites/Global Server And Platform Operations/siops/Shared Documents/4 - DOCUMENTATION/documents/DB13 Configuration.docx?d=w372155f4243b4659b64fa87101b41303&amp;csf=1&amp;web=1&amp;e=1Dl4hO" xr:uid="{81482500-B55D-4C33-8792-719E710B08DE}"/>
    <hyperlink ref="C29" r:id="rId7" display="../../../../../../../../../../../../../:w:/r/sites/Global Server And Platform Operations/siops/Shared Documents/3 - PROJECTS/S4 HANA RAF/D9A/SUM_ 10.docx?d=wb60b3c40d09a45f18753d44d7429f373&amp;csf=1&amp;web=1&amp;e=UDtacS" xr:uid="{D1D5B573-15E4-49C0-A389-951B407EFD06}"/>
    <hyperlink ref="C30" r:id="rId8" display="../../../../../../../../../../../../../:w:/r/sites/Global Server And Platform Operations/siops/Shared Documents/2 - OPERATIONS/ASE/ASE-SYSTEM_DB_SPACE-check/ASE Database space check.docx?d=we3e21bbbf60149569ee7f6cb5b857f36&amp;csf=1&amp;web=1&amp;e=YZI1HX" xr:uid="{DEC7F9A4-4525-4528-A230-0EB46FC251CE}"/>
    <hyperlink ref="C31" r:id="rId9" display="../../../../../../:w:/r/sites/Global Server And Platform Operations/siops/Shared Documents/2 - OPERATIONS/Linde SNC_SSO_implementation.docx?d=w6fd46b25a6cd4b45851a1fa1c98560b9&amp;csf=1&amp;web=1&amp;e=MxjBBo" xr:uid="{2A127173-1F8B-4B01-B23A-46807E968DB7}"/>
    <hyperlink ref="C34" r:id="rId10" display="../../../../../../../../../../../../../:x:/r/sites/Global Server And Platform Operations/siops/Shared Documents/2 - OPERATIONS/System Monitoring/New Monitoring template/Oracle/ECC_Oracle_Basic_monitoring_check_v2.xlsx?d=wa8ab1bb4ee424d728ee1dea2998ba73c&amp;csf=1&amp;web=1&amp;e=ZgxMiJ" xr:uid="{DF98C780-D39A-4167-9106-D5842670208D}"/>
    <hyperlink ref="C35" r:id="rId11" display="../../../../../../../../../../../../../:x:/r/sites/Global Server And Platform Operations/siops/Shared Documents/2 - OPERATIONS/System Monitoring/New Monitoring template/HANA/ECC_S4_Hana_Basic_monitoring_check_v2.xlsx?d=w174b7c0ae54a4460870f185b9b5380f6&amp;csf=1&amp;web=1&amp;e=HJvnyH" xr:uid="{9991069F-2422-4C63-ADC2-A4D32B0F6956}"/>
    <hyperlink ref="C38" r:id="rId12" display="../../../../../../../../../../../../../:w:/r/sites/Global Server And Platform Operations/siops/Shared Documents/2 - OPERATIONS/ASE/ASE Automatic DB Expansion/Sybase ASE - Auto DB Expansion Config (NEW).docx?d=w2c1fac6e556d4df085394841ab10aed4&amp;csf=1&amp;web=1&amp;e=WoRUkv" xr:uid="{2998B51F-FD47-4069-8CF2-0E545A240E61}"/>
    <hyperlink ref="C36" r:id="rId13" display="../../../../../../../../../../../../../:x:/r/sites/Global Server And Platform Operations/siops/Shared Documents/2 - OPERATIONS/System Monitoring/Daily Manual Monitoring Template/ASE_Basic_monitoring_check_1.1.xlsx?d=wcc50b6bcf2664b95b61394c291957071&amp;csf=1&amp;web=1&amp;e=ZUNK7k" xr:uid="{CD616BF9-E5E9-4CEB-8B26-7B83EA22EAC7}"/>
    <hyperlink ref="C37" r:id="rId14" display="../../../../../../../../../../../../../:w:/r/sites/Global Server And Platform Operations/siops/Shared Documents/3 - PROJECTS/Portal/ADS/ADS_Configuration_in_NW7.5.docx?d=w141d1fa74e80420399732d618552fa63&amp;csf=1&amp;web=1&amp;e=CQsInO" xr:uid="{6B2DE1D6-8454-40BE-9609-BE02D0962402}"/>
    <hyperlink ref="C41" r:id="rId15" display="../../../../../../../../../../../../../:w:/r/sites/Global Server And Platform Operations/siops/Shared Documents/3 - PROJECTS/Azure Cloud/Cloud-Azure/Migration/Netweaver 7.5 - Azure.docx?d=w8e0d0b039fdb42caa60507866c985a04&amp;csf=1&amp;web=1&amp;e=ej5LUx" xr:uid="{180B0631-82EA-423E-A3B0-B8B00227C63B}"/>
    <hyperlink ref="C40" r:id="rId16" display="../../../../../../../../../../../../../:w:/r/sites/Global Server And Platform Operations/siops/Shared Documents/2 - OPERATIONS/Certificate Renewal Process/Linde Internal Certificate Renewal Process.docx?d=w8ba010f90e0944c4a5e33c553c298079&amp;csf=1&amp;web=1&amp;e=5KLNCZ" xr:uid="{0F9B4D23-B658-48B9-97AE-4E283574D436}"/>
    <hyperlink ref="C44" r:id="rId17" display="../../../../../../../../../../../../../:w:/r/sites/Global Server And Platform Operations/siops/Shared Documents/3 - PROJECTS/BW4HANA upgrade/GPW/GPW_SPS_2022to2023_Upgrade.docx?d=w5b153870abf247df98b468b6a38e9db7&amp;csf=1&amp;web=1&amp;e=HxWrMe" xr:uid="{0497FA50-1E23-4AF8-B6CF-F43B011C0940}"/>
    <hyperlink ref="C46" r:id="rId18" display="../../../../../../../../../../../../../:w:/r/sites/Global Server And Platform Operations/siops/Shared Documents/3 - PROJECTS/Oracle19c-Upgrade/Oracle_19C.docx?d=w32a29977472645198911e4ff5a4d3738&amp;csf=1&amp;web=1&amp;e=I4KWqt" xr:uid="{C04583D2-CA17-4DC2-8731-EC62E1E21F6A}"/>
    <hyperlink ref="C48" r:id="rId19" display="../../../../../../../../../../../../../:w:/r/sites/Global Server And Platform Operations/siops/Shared Documents/2 - OPERATIONS/Web Dispatcher/Add SID to Webdispatcher.docx?d=w7f6cfea9088f4dd783bfbef080921457&amp;csf=1&amp;web=1&amp;e=Pajj0a" xr:uid="{77D04F28-45F7-4FD9-89D4-7F0D28384B40}"/>
    <hyperlink ref="C49" r:id="rId20" display="../../../../../../../../../../../../../:w:/r/sites/Global Server And Platform Operations/siops/Shared Documents/2 - OPERATIONS/TGE Client Refresh/Steps_for Client_Copy.docx?d=w6aa61a6f273945c79e0e4188e327b64e&amp;csf=1&amp;web=1&amp;e=fXPpWe" xr:uid="{72290B5D-7CB9-4425-91C3-0F0F0772080F}"/>
    <hyperlink ref="C51" r:id="rId21" display="../../../../../../../../../../../../../:w:/r/sites/Global Server And Platform Operations/siops/Shared Documents/2 - OPERATIONS/REDO LOG configuration/Redo Log Configuration.docx?d=wed51b68ce99244a2b66bb2053968f7db&amp;csf=1&amp;web=1&amp;e=cEJX00" xr:uid="{29C4645B-E2D8-47B5-BB5D-E6660472419E}"/>
    <hyperlink ref="C52" r:id="rId22" display="../../../../../../../../../../../../../:w:/r/sites/Global Server And Platform Operations/siops/Shared Documents/3 - PROJECTS/Malaga/Supporting Documents/Mass job change.docx?d=w8227198820724f09b09a3e9cea0e65a5&amp;csf=1&amp;web=1&amp;e=LqV9kY" xr:uid="{F56A0069-2789-43EB-BD84-1766EAE73436}"/>
    <hyperlink ref="C53" r:id="rId23" display="../../../../../../../../../../../../../:w:/r/sites/Global Server And Platform Operations/siops/Shared Documents/3 - PROJECTS/GTS S4 Conversion/QGG/HANA installation and GTS e4H Migration for QGG.docx?d=wfe6f0d07a52340158790722923e999ad&amp;csf=1&amp;web=1&amp;e=BP8cQr" xr:uid="{82AB311D-F3B6-4508-BDA9-6FA36C044BA3}"/>
    <hyperlink ref="C55" r:id="rId24" display="../../../../../../../../../../../../../:w:/r/sites/Global Server And Platform Operations/siops/Shared Documents/3 - PROJECTS/S4 HANA General docs/Ariba Basis Tasks.docx?d=we31d9fb5f44a419b870fa97128c2486c&amp;csf=1&amp;web=1&amp;e=rMzS4v" xr:uid="{FED5495D-3899-47F7-B236-7488433D1514}"/>
    <hyperlink ref="C59" r:id="rId25" display="../../../../../../../../../../../../../:w:/r/sites/Global Server And Platform Operations/siops/Shared Documents/3 - PROJECTS/S4 HANA General docs/Hana System build docs/Configure SAP standard jobs via SJOBREPO.docx?d=wd5bcfa269af64e4c934d1e44554e8015&amp;csf=1&amp;web=1&amp;e=2RoAIy" xr:uid="{EBFB1706-6695-4575-91C0-22625D84EDF8}"/>
    <hyperlink ref="C64" r:id="rId26" display="../../../../../../:w:/r/sites/Global Server And Platform Operations/siops/Shared Documents/2 - OPERATIONS/LCM/SOP/Sybase ASE Patch Upgrade 2024 Wave 1.docx?d=w72fb2adb07c7464ab228f71ed49ae3c7&amp;csf=1&amp;web=1&amp;e=lzwfER" xr:uid="{3E790B27-A7BC-47D0-A591-89D098189ED8}"/>
    <hyperlink ref="C42" r:id="rId27" display="../../Forms/WIDE.aspx?id=%2Fsites%2FGlobal%20Server%20And%20Platform%20Operations%2Fsiops%2FShared%20Documents%2F2%20%2D%20OPERATIONS%2FCloud%20Connector%2FUtsha%5FCloud&amp;viewid=8d381445%2D193a%2D4128%2D890b%2D36bf43ff9351" xr:uid="{152C242A-5664-4214-AC9F-89504754460F}"/>
    <hyperlink ref="C66" r:id="rId28" display="../../../../../../../../../../../../../:w:/r/sites/Global Server And Platform Operations/siops/Shared Documents/2 - OPERATIONS/HANA/HANA Issue/ODBC_setup.docx?d=web2442dd692b4f4a87221e6e39a2bcc2&amp;csf=1&amp;web=1&amp;e=M0MBJZ" xr:uid="{83CACED9-33B8-4592-9F89-E4EFC93BA3E7}"/>
    <hyperlink ref="C65" r:id="rId29" display="../../../../../../../../../../../../../:w:/r/sites/Global Server And Platform Operations/siops/Shared Documents/2 - OPERATIONS/LCM/2023/Wave-1/SOP/Hana_LCM/MAI pause.docx?d=w342f05f7abfe4c88878d01de6c3b6a8f&amp;csf=1&amp;web=1&amp;e=4I51Ri" xr:uid="{18DE2945-1F23-401D-A918-40DD42FF5C33}"/>
    <hyperlink ref="C68" r:id="rId30" display="../../../../../../../../../../../../../:w:/r/sites/Global Server And Platform Operations/siops/Shared Documents/2 - OPERATIONS/ASE/Issue Capture %26 Findings/ASE_Issues/JS_Agent_error_sapsa_locked.docx?d=w3709e6bc7d3b4e84bb14302ec9bbaf7d&amp;csf=1&amp;web=1&amp;e=17MorD" xr:uid="{4F09966F-88C0-4FC5-8753-CA19F5C8976E}"/>
    <hyperlink ref="C71" r:id="rId31" display="../../../../../../../../../../../../../:w:/r/sites/Global Server And Platform Operations/siops/Shared Documents/2 - OPERATIONS/System Refresh/Refresh Document Template/SOAMANAGE FIX.docx?d=we416566d2f5c4068ac6c285db32903b1&amp;csf=1&amp;web=1&amp;e=PzzF6Q" xr:uid="{58A38289-6F57-4E3F-98D5-B0CE1D568FE5}"/>
    <hyperlink ref="C70" r:id="rId32" display="../../../../../../../../../../../../../:w:/r/sites/Global Server And Platform Operations/siops/Shared Documents/4 - DOCUMENTATION/Landscape/Knowledge Base/SPNEGO_ABAP_STACK_UPDATED.docx?d=w3cc80d471de94a35965dc00d0a002790&amp;csf=1&amp;web=1&amp;e=zIdz2W&amp;xsdata=MDV8MDJ8U2FudG9zaC5LdW1hckBsaW5kZS5jb218YThkNDM3YWEwYzIyNGFlZDk0ODQwOGRkN2NhOWI2NDd8MTU2MmYwMDcwOWE0NGZjYjkzNmJlNzkyNDY1NzFmYzd8MHwwfDYzODgwMzc5MDUzNTQ2NjU2NXxVbmtub3dufFRXRnBiR1pzYjNkOGV5SkZiWEIwZVUxaGNHa2lPblJ5ZFdVc0lsWWlPaUl3TGpBdU1EQXdNQ0lzSWxBaU9pSlhhVzR6TWlJc0lrRk9Jam9pVFdGcGJDSXNJbGRVSWpveWZRPT18MHx8fA%3d%3d&amp;sdata=NDNBOXpmQlpaYnFhTktmUnIyRTNzMll4TUpaY3JXTWxhaXQvRndGbHo3TT0%3d" xr:uid="{74B1E794-F0C3-43C3-AA30-ED42F3D4A1E4}"/>
    <hyperlink ref="C62" r:id="rId33" display="../../../../../../../../../../../../../:w:/r/sites/Global Server And Platform Operations/siops/Shared Documents/3 - PROJECTS/IBP Add-on D1A and D03/Agent_installation_config_final.docx?d=wa8a473f8007e4963b92d9f12831ef8ba&amp;csf=1&amp;web=1&amp;e=TJ43dK" xr:uid="{AF28D3B9-4994-4BB2-99E7-406B2FAF8999}"/>
    <hyperlink ref="C73" r:id="rId34" display="../../../../../../../../../../../../../:w:/r/sites/Global Server And Platform Operations/siops/Shared Documents/4 - DOCUMENTATION/Procedure/Provisioning/PROCESS FOR NEW SERVER PROVISIONING 2025.docx?d=wa0525f08886747ad80a5817f5adc24ac&amp;csf=1&amp;web=1&amp;e=IlJ8vt&amp;xsdata=MDV8MDJ8U2FudG9zaC5LdW1hckBsaW5kZS5jb218OTQ4ZTcwNmFkZjM3NDc2OGZhYjQwOGRkN2NjYzE3M2J8MTU2MmYwMDcwOWE0NGZjYjkzNmJlNzkyNDY1NzFmYzd8MHwwfDYzODgwMzkzODE4MjExNTk1MnxVbmtub3dufFRXRnBiR1pzYjNkOGV5SkZiWEIwZVUxaGNHa2lPblJ5ZFdVc0lsWWlPaUl3TGpBdU1EQXdNQ0lzSWxBaU9pSlhhVzR6TWlJc0lrRk9Jam9pVFdGcGJDSXNJbGRVSWpveWZRPT18MHx8fA%3d%3d&amp;sdata=SlRIWGo3VDl4OFJyWXlTcmNkWll4RFdYbFZxV1RnYjBsbTY3cGlWVFZQQT0%3d" xr:uid="{2D55E2A0-1A21-416C-92B6-49D6275E1949}"/>
    <hyperlink ref="C75" r:id="rId35" display="../../../../../../../../../../../../../:p:/r/sites/Global Server And Platform Operations/siops/Shared Documents/2 - OPERATIONS/HANA/HANA Issue/hdbconnectivity issue.pptm?d=wc0c099a21d52444f964ec116337bd685&amp;csf=1&amp;web=1&amp;e=lUXgOj" xr:uid="{F9179A74-193F-4CC4-B5FC-DB703366E81D}"/>
    <hyperlink ref="C77" r:id="rId36" display="../../../SitePages/Home.aspx?RootFolder=%2Fsites%2FGlobal%20Server%20And%20Platform%20Operations%2Fsiops%2FShared%20Documents%2F3%20%2D%20PROJECTS%2FNetapp%20Migration%2F02%20Development%20Phase%2FHana%20Stream%2FRestore%20and%20Recovery&amp;FolderCTID=0x01200018A5862A3FF541449B36D2B745FF1936&amp;View=%7B46B893C3%2D9DD8%2D4694%2DBB59%2DC7E968A09D76%7D" xr:uid="{0E30E65B-8F44-4DFC-9DD2-2250C4CF1C95}"/>
    <hyperlink ref="C43" r:id="rId37" display="../../../../../../../../../../../../../:w:/r/sites/Global Server And Platform Operations/siops/Shared Documents/3 - PROJECTS/S4 HANA RAF/How_to_docu/Saprouter configuration.docx?d=w2c04d93f499f4f1195baf99ebbba32c2&amp;csf=1&amp;web=1&amp;e=oiaMug" xr:uid="{E829A323-9881-46A4-A8D8-1252C21ED923}"/>
    <hyperlink ref="C78" r:id="rId38" display="../../../../../../:w:/r/sites/Global Server And Platform Operations/siops/Shared Documents/3 - PROJECTS/S4 HANA General docs/Hana System build docs/SMD Agent Installtion.docx?d=w4dca86b74fcc4dc1bccaac3d1bc18c95&amp;csf=1&amp;web=1&amp;e=JoRUaw" xr:uid="{D01C0AEE-B4D2-4A61-917D-0350396E6346}"/>
    <hyperlink ref="C32" r:id="rId39" display="../../../../../../../../../../../../../:w:/r/sites/Global Server And Platform Operations/siops/Shared Documents/2 - OPERATIONS/ORACLE/System Refresh/Self System restore/QGE_Oracle_Restore_Recovery 3.docx?d=w31737fa9a434408da869934f29a00f9c&amp;csf=1&amp;web=1&amp;e=OVbYyn" xr:uid="{F12AFC4A-A110-436A-8529-1AD5835DDA32}"/>
    <hyperlink ref="C69" r:id="rId40" display="../../../../../../../../../../../../../:x:/r/sites/Global Server And Platform Operations/siops/Shared Documents/5 - OPS REPORTS/pacadm/pacadm.xlsb?d=w8d28936e8721414bb2b6e27b74dfbf5b&amp;csf=1&amp;web=1&amp;e=dRDgvm" xr:uid="{9DAFA833-67F6-4C19-B59C-0ABC8B0B6224}"/>
    <hyperlink ref="C12" r:id="rId41" display="../../../../../../../../../../../../../:l:/r/sites/Global Server And Platform Operations/siops/Lists/SAP SID List?e=gPgCb8" xr:uid="{C9240FA2-77B8-4178-81FE-D168AF4C13A1}"/>
    <hyperlink ref="C76" r:id="rId42" display="../../../../../../../../../../../../../:w:/r/sites/Global Server And Platform Operations/siops/Shared Documents/3 - PROJECTS/Solman activities/EWA configuration.docx?d=w87de3bcf872d489298a8b3b7ded4193c&amp;csf=1&amp;web=1&amp;e=2gR6eo" xr:uid="{21291C28-036D-40C3-B262-3E4F7E12BA80}"/>
    <hyperlink ref="C63" r:id="rId43" display="../../../../../../../../../../../../../:w:/r/sites/Global Server And Platform Operations/siops/Shared Documents/3 - PROJECTS/Solman activities/Wily upgrade ver1.0.docx?d=we84c79449bc642a08e70c41011773e75&amp;csf=1&amp;web=1&amp;e=Liv0rj" xr:uid="{3574AABD-BFD7-4CD8-8D53-21F23A202C53}"/>
    <hyperlink ref="C61" r:id="rId44" display="../../../../../../:p:/r/sites/Global Server And Platform Operations/siops/Shared Documents/4 - DOCUMENTATION/documents/FCI_vFaaS_to_pFaaS_Migration/TSI_vFaaS_pFaaS.pptx?d=w2b12622fb0ac467a9184e44c7bb1034d&amp;csf=1&amp;web=1&amp;e=PHKcC7" xr:uid="{BE8548EA-65EA-4A4C-90C3-1E769F550239}"/>
    <hyperlink ref="C60" r:id="rId45" display="../../../SitePages/Home.aspx?RootFolder=%2Fsites%2FGlobal%20Server%20And%20Platform%20Operations%2Fsiops%2FShared%20Documents%2F3%20%2D%20PROJECTS%2FNetapp%20Migration&amp;FolderCTID=0x01200018A5862A3FF541449B36D2B745FF1936&amp;View=%7B46B893C3%2D9DD8%2D4694%2DBB59%2DC7E968A09D76%7D" xr:uid="{AE9AAC47-8660-4C11-9B82-482E3B376875}"/>
    <hyperlink ref="C54" r:id="rId46" display="../../../../../../../../../../../../../:w:/r/sites/Global Server And Platform Operations/siops/Shared Documents/3 - PROJECTS/Solman activities/Solman SP10 upgrade/Solman upgrade.docx?d=weffb7f2f220c4d948e922b5577e616f2&amp;csf=1&amp;web=1&amp;e=FaRNA6" xr:uid="{C3672DC8-40D1-4A48-BDFA-22F95692AA88}"/>
    <hyperlink ref="C58" r:id="rId47" display="../../../../../../../../../../../../../:w:/r/sites/Global Server And Platform Operations/siops/Shared Documents/4 - DOCUMENTATION/documents/S4 HANA General docs/Hana System build docs/SWU3_activation.docx?d=w74ea4fc7f4cf406e9ab318c1c7c682eb&amp;csf=1&amp;web=1&amp;e=yNUHqP" xr:uid="{7119BEFE-181D-4B5B-B087-130AAF1315BE}"/>
    <hyperlink ref="C56" r:id="rId48" display="../../../../../../:w:/r/sites/Global Server And Platform Operations/siops/Shared Documents/3 - PROJECTS/S4 HANA General docs/Hana System build docs/SCOT CONFIGURATION.docx?d=w928dc3a544e54a99b017a34965fd9dca&amp;csf=1&amp;web=1&amp;e=bPq6Xf" xr:uid="{A898D978-AEC1-4721-BF91-A81FE68D2DB5}"/>
    <hyperlink ref="C11" r:id="rId49" display="../../../../../../:w:/r/sites/Global Server And Platform Operations/siops/Shared Documents/4 - DOCUMENTATION/Procedure/SOP Inc_Pro_Ser_Cha Operation Handling Process.docx?d=wcebbe173c1d44f9ab399f80b3e9529a4&amp;csf=1&amp;web=1&amp;e=HHgMe7" xr:uid="{172DCE25-C5B0-489F-85A7-5046F1C6657E}"/>
    <hyperlink ref="C74" r:id="rId50" display="../../../../../../../../../../../../../:w:/r/sites/Global Server And Platform Operations/siops/Shared Documents/2 - OPERATIONS/vncserver/Configtool_VNC_procoess.docx?d=w4dba88472f9d41ed90a738af09d2f97b&amp;csf=1&amp;web=1&amp;e=KjYDYq" xr:uid="{85A4D879-EA26-4872-A296-292AB2E4A23B}"/>
    <hyperlink ref="C79" r:id="rId51" display="../../Forms/WIDE.aspx?id=%2Fsites%2FGlobal%20Server%20And%20Platform%20Operations%2Fsiops%2FShared%20Documents%2F2%20%2D%20OPERATIONS%2FLCM%2FLCM%20Enhanced%20Implementation%20Process%20Documents&amp;sortField=Modified&amp;isAscending=false&amp;viewid=40aeaa2c%2D7416%2D41e4%2Da50b%2Daa3d2f3d4c5f&amp;FolderCTID=0x01200018A5862A3FF541449B36D2B745FF1936" xr:uid="{373DF7BD-C481-4DB7-BA2C-71FE66AF78CF}"/>
    <hyperlink ref="B7" r:id="rId52" display="../../../../../../../../../../../../../:w:/r/sites/Global Server And Platform Operations/siops/Shared Documents/1 - ORG/GSPO Management Topics/Team transformation2024_25/TeamTransformation/SolutionDesign/ImplementingTechnicaldocuments/Document Format.docx?d=w8ec13ea3c0c7480986681f535d759634&amp;csf=1&amp;web=1&amp;e=xRbDUb" xr:uid="{34012A8A-95CF-496B-BB9D-D767B7F3AF14}"/>
    <hyperlink ref="C28" r:id="rId53" display="../../../../../../../../../../../../../:w:/r/sites/Global Server And Platform Operations/siops/Shared Documents/2 - OPERATIONS/St06.docx_final_version.docx?d=w751c6b5dbc0240bda5e15d0e8a306fb3&amp;csf=1&amp;web=1&amp;e=92CXTa" xr:uid="{0E7B6E54-311F-4935-860A-96E46556B2A7}"/>
    <hyperlink ref="C50" r:id="rId54" display="../../../../../../:w:/r/sites/Global Server And Platform Operations/siops/Shared Documents/2 - OPERATIONS/Tablespace analysis/Table Space_Analysis.docx?d=w6f633b6f6aac40388d1e29f88542a44d&amp;csf=1&amp;web=1&amp;e=cjbHp1" xr:uid="{8711A2A0-46E1-4A2A-94C0-4BA34ABCD39B}"/>
    <hyperlink ref="C47" r:id="rId55" display="../../../../../../../../../../../../../:w:/r/sites/Global Server And Platform Operations/siops/_layouts/15/Doc.aspx?sourcedoc=%7BB220328F-DB70-4B1A-BA6A-21BFAE5F9E4B%7D&amp;file=SLT_setup_DRG.docx&amp;action=default&amp;mobileredirect=true" xr:uid="{D3B5CF1B-3E4B-4731-B9F5-98945EB52444}"/>
    <hyperlink ref="C33" r:id="rId56" display="../../../../../../:w:/r/sites/Global Server And Platform Operations/siops/Shared Documents/2 - OPERATIONS/HANA/Veem backup/SOP for HANA backup and Restore/FCI-HANA-Restore - Latest.docx?d=w98c2ab9b0bc7479db448641c49c52bc1&amp;csf=1&amp;web=1&amp;e=H7uHJj" xr:uid="{9137AE70-7921-4E1B-BB47-E1A5FEC4C9A5}"/>
    <hyperlink ref="C45" r:id="rId57" display="../../../../../../:w:/r/sites/Global Server And Platform Operations/siops/Shared Documents/3 - PROJECTS/Hana_SPS_ugrade.docx?d=w327f569d1d3644e6bec55c3604dd8b6a&amp;csf=1&amp;web=1&amp;e=Xbycd2" xr:uid="{779489BE-D46D-4BC8-A0D0-F6F173D8359A}"/>
    <hyperlink ref="C57" r:id="rId58" display="../../../../../../../../../../../../../:w:/r/sites/Global Server And Platform Operations/siops/_layouts/15/Doc.aspx?sourcedoc=%7BBE5CD618-E7AF-4BB5-9D27-EFE45AE0FA15%7D&amp;file=Hana_Parameter_check.docx&amp;action=default&amp;mobileredirect=true&amp;ovuser=1562f007-09a4-4fcb-936b-e79246571fc7%2Cin10f5%40linde.com&amp;clickparams=eyJBcHBOYW1lIjoiVGVhbXMtRGVza3RvcCIsIkFwcFZlcnNpb24iOiI0OS8yNTAzMTMyMTAxNCIsIkhhc0ZlZGVyYXRlZFVzZXIiOmZhbHNlfQ%3D%3D" xr:uid="{A106BB78-88E7-4183-A298-9D86D77C0513}"/>
    <hyperlink ref="C67" r:id="rId59" display="../../../../../../../../../../../../../:w:/r/sites/Global Server And Platform Operations/siops/Shared Documents/4 - DOCUMENTATION/SOP/SOP HANA DB admin users.docx?d=w3218c92dfd6940058221064ec54389af&amp;csf=1&amp;web=1&amp;e=PRtxNH" xr:uid="{0C30B3B0-8390-4BCF-BE87-B3656A65F7A4}"/>
    <hyperlink ref="C25" r:id="rId60" display="../../../SitePages/Home.aspx?RootFolder=%2Fsites%2FGlobal%20Server%20And%20Platform%20Operations%2Fsiops%2FShared%20Documents%2F2%20%2D%20OPERATIONS%2FLCM%2FSOP&amp;FolderCTID=0x01200018A5862A3FF541449B36D2B745FF1936&amp;View=%7B46B893C3%2D9DD8%2D4694%2DBB59%2DC7E968A09D76%7D" xr:uid="{BBF65D9C-D216-4C30-9D36-9F9077DE9C04}"/>
    <hyperlink ref="C13:C16" r:id="rId61" display="Click Here" xr:uid="{5B67CB40-16A0-497D-860E-F29672198484}"/>
    <hyperlink ref="C13" r:id="rId62" display="../../../../../../:w:/r/sites/Global Server And Platform Operations/siops/Shared Documents/1 - ORG/GSPO Management Topics/Team transformation2024_25/TeamTransformation/SolutionDesign/Communication Guidelines/Communication_BestPractice_V1.0.docx?d=w74c2828c6fb44f08b28dada92198dde7&amp;csf=1&amp;web=1&amp;e=NgQiMP" xr:uid="{52295FFA-B176-4C80-85D0-A7F6B3238282}"/>
    <hyperlink ref="C14" r:id="rId63" display="../../../../../../:w:/r/sites/Global Server And Platform Operations/siops/Shared Documents/1 - ORG/GSPO Management Topics/Team transformation2024_25/TeamTransformation/SolutionDesign/Escalation Guidelines/SOP_EscalationProcess_V1.0.docx?d=w05c27b383d1a497c91c3b3abbe990b6f&amp;csf=1&amp;web=1&amp;e=NtXg4i" xr:uid="{60075463-6EE4-4438-9CE3-F730A6A24375}"/>
    <hyperlink ref="C15" r:id="rId64" display="../../../../../../:w:/r/sites/Global Server And Platform Operations/siops/Shared Documents/1 - ORG/GSPO Management Topics/Team transformation2024_25/TeamTransformation/SolutionDesign/KPIexpectations/KPI_Guidelines_V1.0.docx?d=w89f1c1ddb2244cffae72ede4295d3083&amp;csf=1&amp;web=1&amp;e=BnOxXZ" xr:uid="{67B694A8-2A24-4197-BD7B-F30500DB00FE}"/>
    <hyperlink ref="C16" r:id="rId65" display="../../../../../../:w:/r/sites/Global Server And Platform Operations/siops/Shared Documents/1 - ORG/GSPO Management Topics/Team transformation2024_25/TeamTransformation/SolutionDesign/Roles Definition SOP/LO_TO_Responsibility_v1.0.docx?d=w6de3220cbec54dc1a3f6280fda1b702f&amp;csf=1&amp;web=1&amp;e=R9xDYZ" xr:uid="{804A307E-80EA-4BD3-A3E3-A85C5B0E2D75}"/>
    <hyperlink ref="C80" r:id="rId66" display="../../../SitePages/Home.aspx?RootFolder=%2fsites%2fGlobal+Server+And+Platform+Operations%2fsiops%2fShared+Documents%2f4+-+DOCUMENTATION%2fProcedure%2fDisaster+Recovery%2fFCI+HANA&amp;FolderCTID=0x01200018A5862A3FF541449B36D2B745FF1936&amp;View=%7b46B893C3-9DD8-4694-BB59-C7E968A09D76%7d&amp;xsdata=MDV8MDJ8fGYzNmI2YjRlODk4YzQ5ZGZjNGY0MDhkZGIzOWRjZWZhfDE1NjJmMDA3MDlhNDRmY2I5MzZiZTc5MjQ2NTcxZmM3fDB8MHw2Mzg4NjQyMTI1MjAyNTY3NTZ8VW5rbm93bnxWR1ZoYlhOVFpXTjFjbWwwZVZObGNuWnBZMlY4ZXlKRFFTSTZJbFJsWVcxelgwRlVVRk5sY25acFkyVmZVMUJQVEU5R0lpd2lWaUk2SWpBdU1DNHdNREF3SWl3aVVDSTZJbGRwYmpNeUlpd2lRVTRpT2lKUGRHaGxjaUlzSWxkVUlqb3hNWDA9fDF8TDJOb1lYUnpMekU1T2pOaE16WTROR0k1TFRKbVpESXRORGRoTVMxaVkyVmtMVFZoT0RNM01qZzNZamsyWkY5aU5XWXpaVGxqTXkwMU1EZzJMVFE0WWpFdE9HUmtOeTA0WlRFeE4yRTNOMkU0TW1OQWRXNXhMbWRpYkM1emNHRmpaWE12YldWemMyRm5aWE12TVRjMU1EZ3lORFExTVRjeU9RPT18NjYxMzIyZmJkNDIxNDE0YWM0ZjQwOGRkYjM5ZGNlZmF8Mzk0ZDc5ZTQ2N2M2NGRiY2FkNjkyZTRhMDM4OTAzNzU%3d&amp;sdata=RzhmcUpiTGNkLyt3TlQwTUtqaTRLSUdSNjU3VXdNejkxcHZMR3hjdnBrbz0%3d&amp;ovuser=1562f007-09a4-4fcb-936b-e79246571fc7%2cin08f9%40linde.com&amp;OR=Teams-HL&amp;CT=1750824468130&amp;clickparams=eyJBcHBOYW1lIjoiVGVhbXMtRGVza3RvcCIsIkFwcFZlcnNpb24iOiI0OS8yNTA2MDIwNjYxNCIsIkhhc0ZlZGVyYXRlZFVzZXIiOmZhbHNlfQ%3d%3d&amp;SafelinksUrl=https%3a%2f%2flindegroup.sharepoint.com%2fsites%2fGlobal%2520Server%2520And%2520Platform%2520Operations%2fsiops%2fSitePages%2fHome.aspx" xr:uid="{21A73DBF-54B0-404E-A552-BE92FF4331FD}"/>
    <hyperlink ref="C17" r:id="rId67" display="../../../../../../:p:/r/sites/Global Server And Platform Operations/siops/Shared Documents/4 - DOCUMENTATION/Procedure/Linde SAP BASIS Operations Do%27s %26 Don%27t.pptx?d=w65550fa9d7ed4c2b83a4c4a6155baf38&amp;csf=1&amp;web=1&amp;e=13rHb2" xr:uid="{904C4C3D-3F38-4B8C-B5F2-66E65C7B0B82}"/>
    <hyperlink ref="C18" r:id="rId68" display="../../../../../../:p:/r/sites/Global Server And Platform Operations/siops/Shared Documents/4 - DOCUMENTATION/Procedure/Linde SAP BASIS Security Guidelines GSPO Basis.pptx?d=w2e5a3ba360324e848d975fb5cec90746&amp;csf=1&amp;web=1&amp;e=UJa4br" xr:uid="{92522491-0FC4-475E-B574-2DC2A6C3FCF1}"/>
    <hyperlink ref="C81" r:id="rId69" display="../../../../../../:w:/r/sites/Global Server And Platform Operations/siops/Shared Documents/2 - OPERATIONS/Certificate Renewal Process/SeeBurger_Certificate_Renewal_Guidelines.docx?d=w94622303f53e4704916c9ed3814c3324&amp;csf=1&amp;web=1&amp;e=n1tZtc" xr:uid="{29B123B8-2782-4899-AB80-FF1C37C9D9FB}"/>
    <hyperlink ref="C39" r:id="rId70" display="../../../../../../:w:/r/sites/Global Server And Platform Operations/siops/Shared Documents/3 - PROJECTS/S4 HANA General docs/Hana System build docs/checklists/Hana Post Installation checks.docx?d=w2016fbd1a6074e9c8f370c15356053a8&amp;csf=1&amp;web=1&amp;e=c8XTPm" xr:uid="{4C80747E-CB8C-4504-A336-52BC6E7C0B7A}"/>
    <hyperlink ref="C26" r:id="rId71" display="../../../../../../:w:/r/sites/Global Server And Platform Operations/soldes/_layouts/15/Doc.aspx?sourcedoc=%7B27DB1BA3-6A47-4DBE-9ED6-5B424D45DE99%7D&amp;file=SAP%20Global%20Technical%20Maintenance%20SOP.docx&amp;action=default&amp;mobileredirect=true" xr:uid="{0E231933-08F3-42F9-BE03-1C3BC5CB3ADC}"/>
    <hyperlink ref="C83" r:id="rId72" display="../../../../../../:w:/r/sites/Global Server And Platform Operations/siops/Shared Documents/2 - OPERATIONS/LCM/2026/Wave-1/SOP/SCC4_SE06_Checks.docx?d=wa115ac7598c8484eaafc610352405c02&amp;csf=1&amp;web=1&amp;e=JJ7fbY" xr:uid="{5D39FF1C-877D-4982-A9AE-11B578AE87E1}"/>
    <hyperlink ref="C82" r:id="rId73" display="../../../../../../:w:/r/sites/Global Server And Platform Operations/siops/Shared Documents/4 - DOCUMENTATION/Procedure/myPAS/MyPAS SAP Basis password management.docx?d=w9108778cba6844c7ab31794f8748c628&amp;csf=1&amp;web=1&amp;e=jQuro7" xr:uid="{24200841-52F4-47D9-8809-14AC6C25D1F6}"/>
    <hyperlink ref="C84" r:id="rId74" display="../../../../../../:w:/r/sites/Global Server And Platform Operations/siops/Shared Documents/3 - PROJECTS/S4 HANA General docs/Hana System build docs/Interface setup doc/BTP_FIORI/FIORI_BTP seutp.docx?d=wa88631ae022d4aeb8e6d0248cb24eb73&amp;csf=1&amp;web=1&amp;e=ddIBM1" xr:uid="{DB4FDFFF-3554-4EAF-A474-4C7B6C70BAF6}"/>
    <hyperlink ref="C85" r:id="rId75" display="../../../../../../:w:/r/sites/Global Server And Platform Operations/siops/Shared Documents/3 - PROJECTS/S4 HANA General docs/Hana System build docs/DBACockpit_connection_systemdb.docx?d=w9439ec502a2741c8adbe74a614f67743&amp;csf=1&amp;web=1&amp;e=4Ibfdg" xr:uid="{FFCF092E-367F-4EA9-A892-8F37BED5F049}"/>
    <hyperlink ref="C86" r:id="rId76" display="../../../../../../:w:/r/sites/Global Server And Platform Operations/siops/Shared Documents/3 - PROJECTS/S4 HANA General docs/Hana System build docs/AFL_SAP_SETUP.docx?d=we1b9514f3add46fc8b48939d5d5d6e5d&amp;csf=1&amp;web=1&amp;e=g1vC82" xr:uid="{BF2E816E-D848-4926-A169-EDD501D99016}"/>
    <hyperlink ref="C87" r:id="rId77" display="../../../../../../:w:/r/sites/Global Server And Platform Operations/siops/Shared Documents/3 - PROJECTS/S4 HANA General docs/Hana System build docs/STRUST and License .docx?d=w4c9729191b44415490f57800f894ef53&amp;csf=1&amp;web=1&amp;e=t0yld9" xr:uid="{8045EED3-89F3-47B9-9EDE-06A2559E586F}"/>
    <hyperlink ref="C88" r:id="rId78" display="../../../../../../:w:/r/sites/Global Server And Platform Operations/siops/Shared Documents/3 - PROJECTS/S4 HANA General docs/Hana System build docs/SCC4 settings.docx?d=w0ba60b5d7bf64fce8db6c79954439567&amp;csf=1&amp;web=1&amp;e=S05e1A" xr:uid="{9E66E59D-FCE2-4CCB-847A-798E7652A902}"/>
    <hyperlink ref="C89" r:id="rId79" display="../../../../../../:w:/r/sites/Global Server And Platform Operations/siops/Shared Documents/3 - PROJECTS/S4 HANA General docs/Hana System build docs/scripting parameter.docx?d=w66f3c202b8304c50ac3941fa79050ed0&amp;csf=1&amp;web=1&amp;e=19f0P8" xr:uid="{83F3659F-8B2F-423D-A9E5-ED89AF279B6D}"/>
    <hyperlink ref="C90" r:id="rId80" display="../../../../../../:w:/r/sites/Global Server And Platform Operations/siops/Shared Documents/3 - PROJECTS/S4 HANA General docs/Hana System build docs/How to manage SAP standard templates.docx?d=wce1d1aff13574a118cda3cb0a354ced8&amp;csf=1&amp;web=1&amp;e=6gDtzz" xr:uid="{04A536E7-D9D6-4467-8157-193F681D3A47}"/>
    <hyperlink ref="C91" r:id="rId81" display="../../../../../../:w:/r/sites/Global Server And Platform Operations/siops/Shared Documents/3 - PROJECTS/S4 HANA General docs/Hana System build docs/How to update SAPLogon entries.docx?d=w566dd5589dff4b799f032e884ddd8899&amp;csf=1&amp;web=1&amp;e=uq62io" xr:uid="{152ED71F-C37A-48FE-99E2-B411C1D3FEB2}"/>
    <hyperlink ref="C92" r:id="rId82" display="https://lincipvg3100.edc.linde.grp:44331/ui2/nwbc/?sap-client=100&amp;sap-language=EN&amp;sap-nwbc-node=root&amp;sap-theme=sap_corbu" xr:uid="{D8E6B4DA-3EE0-477D-B8AF-5C92B4DC2E98}"/>
    <hyperlink ref="C93" r:id="rId83" display="../../../../../../:w:/r/sites/Global Server And Platform Operations/siops/Shared Documents/2 - OPERATIONS/HANA Hardening/HANA SSL final documents/HANA DB Security HardeningV3.0_final.docx?d=wf1d8de863c4947d596f537c434e847ad&amp;csf=1&amp;web=1&amp;e=m90hlo" xr:uid="{EBF05BFA-77C2-4CA9-B6B7-EB53A1BB5005}"/>
  </hyperlinks>
  <pageMargins left="0.7" right="0.7" top="0.75" bottom="0.75" header="0.3" footer="0.3"/>
  <pageSetup orientation="portrait" r:id="rId84"/>
  <drawing r:id="rId8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4671-5863-44EE-A27D-350A93E74542}">
  <dimension ref="A4:B15"/>
  <sheetViews>
    <sheetView topLeftCell="A4" zoomScale="70" zoomScaleNormal="70" workbookViewId="0"/>
  </sheetViews>
  <sheetFormatPr defaultRowHeight="15" x14ac:dyDescent="0.25"/>
  <cols>
    <col min="1" max="1" width="25.28515625" bestFit="1" customWidth="1"/>
    <col min="2" max="2" width="13.28515625" bestFit="1" customWidth="1"/>
  </cols>
  <sheetData>
    <row r="4" spans="1:2" x14ac:dyDescent="0.25">
      <c r="A4" s="20" t="s">
        <v>158</v>
      </c>
      <c r="B4" s="20" t="s">
        <v>159</v>
      </c>
    </row>
    <row r="5" spans="1:2" x14ac:dyDescent="0.25">
      <c r="A5" s="20" t="s">
        <v>160</v>
      </c>
      <c r="B5" s="20">
        <v>14</v>
      </c>
    </row>
    <row r="6" spans="1:2" x14ac:dyDescent="0.25">
      <c r="A6" s="20" t="s">
        <v>161</v>
      </c>
      <c r="B6" s="20">
        <v>11</v>
      </c>
    </row>
    <row r="7" spans="1:2" x14ac:dyDescent="0.25">
      <c r="A7" s="20" t="s">
        <v>162</v>
      </c>
      <c r="B7" s="20">
        <v>11</v>
      </c>
    </row>
    <row r="9" spans="1:2" ht="21" x14ac:dyDescent="0.35">
      <c r="B9" s="21" t="s">
        <v>163</v>
      </c>
    </row>
    <row r="15" spans="1:2" ht="20.25" customHeight="1" x14ac:dyDescent="0.25">
      <c r="A15" s="22" t="s">
        <v>11</v>
      </c>
    </row>
  </sheetData>
  <hyperlinks>
    <hyperlink ref="B9" location="'Master Document'!A1" display="Back" xr:uid="{D9BA9A51-FA34-4841-8B33-E05517D02057}"/>
    <hyperlink ref="A15" r:id="rId1" xr:uid="{C8E5561F-6745-4A95-A3E5-1E42F1CBD6CA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C001-9ED6-4212-95BB-89231F8F8408}">
  <dimension ref="A1:D73"/>
  <sheetViews>
    <sheetView workbookViewId="0">
      <selection activeCell="B2" sqref="B2"/>
    </sheetView>
  </sheetViews>
  <sheetFormatPr defaultRowHeight="15" x14ac:dyDescent="0.25"/>
  <cols>
    <col min="2" max="2" width="11.5703125" bestFit="1" customWidth="1"/>
    <col min="3" max="3" width="10.42578125" bestFit="1" customWidth="1"/>
    <col min="4" max="4" width="20.42578125" customWidth="1"/>
  </cols>
  <sheetData>
    <row r="1" spans="1:4" ht="19.5" thickBot="1" x14ac:dyDescent="0.3">
      <c r="A1" s="10" t="s">
        <v>13</v>
      </c>
      <c r="B1" s="11" t="s">
        <v>164</v>
      </c>
      <c r="C1" s="11" t="s">
        <v>165</v>
      </c>
      <c r="D1" s="12" t="s">
        <v>19</v>
      </c>
    </row>
    <row r="2" spans="1:4" x14ac:dyDescent="0.25">
      <c r="A2" s="7">
        <v>1</v>
      </c>
      <c r="B2" s="8"/>
      <c r="C2" s="8"/>
      <c r="D2" s="9" t="s">
        <v>166</v>
      </c>
    </row>
    <row r="3" spans="1:4" x14ac:dyDescent="0.25">
      <c r="A3" s="3">
        <v>2</v>
      </c>
      <c r="B3" s="5"/>
      <c r="C3" s="5"/>
      <c r="D3" s="1" t="s">
        <v>167</v>
      </c>
    </row>
    <row r="4" spans="1:4" x14ac:dyDescent="0.25">
      <c r="A4" s="3">
        <v>3</v>
      </c>
      <c r="B4" s="5"/>
      <c r="C4" s="5"/>
      <c r="D4" s="1" t="s">
        <v>167</v>
      </c>
    </row>
    <row r="5" spans="1:4" x14ac:dyDescent="0.25">
      <c r="A5" s="3">
        <v>4</v>
      </c>
      <c r="B5" s="5"/>
      <c r="C5" s="5"/>
      <c r="D5" s="1" t="s">
        <v>167</v>
      </c>
    </row>
    <row r="6" spans="1:4" x14ac:dyDescent="0.25">
      <c r="A6" s="3">
        <v>5</v>
      </c>
      <c r="B6" s="5"/>
      <c r="C6" s="5"/>
      <c r="D6" s="1" t="s">
        <v>167</v>
      </c>
    </row>
    <row r="7" spans="1:4" x14ac:dyDescent="0.25">
      <c r="A7" s="3">
        <v>6</v>
      </c>
      <c r="B7" s="5"/>
      <c r="C7" s="5"/>
      <c r="D7" s="1" t="s">
        <v>167</v>
      </c>
    </row>
    <row r="8" spans="1:4" x14ac:dyDescent="0.25">
      <c r="A8" s="3">
        <v>7</v>
      </c>
      <c r="B8" s="5"/>
      <c r="C8" s="5"/>
      <c r="D8" s="1" t="s">
        <v>167</v>
      </c>
    </row>
    <row r="9" spans="1:4" x14ac:dyDescent="0.25">
      <c r="A9" s="3">
        <v>8</v>
      </c>
      <c r="B9" s="5"/>
      <c r="C9" s="5"/>
      <c r="D9" s="1" t="s">
        <v>167</v>
      </c>
    </row>
    <row r="10" spans="1:4" x14ac:dyDescent="0.25">
      <c r="A10" s="3">
        <v>9</v>
      </c>
      <c r="B10" s="5"/>
      <c r="C10" s="5"/>
      <c r="D10" s="1" t="s">
        <v>167</v>
      </c>
    </row>
    <row r="11" spans="1:4" x14ac:dyDescent="0.25">
      <c r="A11" s="3">
        <v>10</v>
      </c>
      <c r="B11" s="5"/>
      <c r="C11" s="5"/>
      <c r="D11" s="1" t="s">
        <v>167</v>
      </c>
    </row>
    <row r="12" spans="1:4" x14ac:dyDescent="0.25">
      <c r="A12" s="3">
        <v>11</v>
      </c>
      <c r="B12" s="5"/>
      <c r="C12" s="5"/>
      <c r="D12" s="1" t="s">
        <v>167</v>
      </c>
    </row>
    <row r="13" spans="1:4" x14ac:dyDescent="0.25">
      <c r="A13" s="3">
        <v>12</v>
      </c>
      <c r="B13" s="5"/>
      <c r="C13" s="5"/>
      <c r="D13" s="1" t="s">
        <v>167</v>
      </c>
    </row>
    <row r="14" spans="1:4" x14ac:dyDescent="0.25">
      <c r="A14" s="3">
        <v>13</v>
      </c>
      <c r="B14" s="5"/>
      <c r="C14" s="5"/>
      <c r="D14" s="1" t="s">
        <v>167</v>
      </c>
    </row>
    <row r="15" spans="1:4" x14ac:dyDescent="0.25">
      <c r="A15" s="3">
        <v>14</v>
      </c>
      <c r="B15" s="5"/>
      <c r="C15" s="5"/>
      <c r="D15" s="1" t="s">
        <v>167</v>
      </c>
    </row>
    <row r="16" spans="1:4" x14ac:dyDescent="0.25">
      <c r="A16" s="3">
        <v>15</v>
      </c>
      <c r="B16" s="5"/>
      <c r="C16" s="5"/>
      <c r="D16" s="1" t="s">
        <v>167</v>
      </c>
    </row>
    <row r="17" spans="1:4" x14ac:dyDescent="0.25">
      <c r="A17" s="3">
        <v>16</v>
      </c>
      <c r="B17" s="5"/>
      <c r="C17" s="5"/>
      <c r="D17" s="1" t="s">
        <v>167</v>
      </c>
    </row>
    <row r="18" spans="1:4" x14ac:dyDescent="0.25">
      <c r="A18" s="3">
        <v>17</v>
      </c>
      <c r="B18" s="5"/>
      <c r="C18" s="5"/>
      <c r="D18" s="1" t="s">
        <v>167</v>
      </c>
    </row>
    <row r="19" spans="1:4" x14ac:dyDescent="0.25">
      <c r="A19" s="3">
        <v>18</v>
      </c>
      <c r="B19" s="5"/>
      <c r="C19" s="5"/>
      <c r="D19" s="1" t="s">
        <v>167</v>
      </c>
    </row>
    <row r="20" spans="1:4" x14ac:dyDescent="0.25">
      <c r="A20" s="3">
        <v>19</v>
      </c>
      <c r="B20" s="5"/>
      <c r="C20" s="5"/>
      <c r="D20" s="1" t="s">
        <v>167</v>
      </c>
    </row>
    <row r="21" spans="1:4" x14ac:dyDescent="0.25">
      <c r="A21" s="3">
        <v>20</v>
      </c>
      <c r="B21" s="5"/>
      <c r="C21" s="5"/>
      <c r="D21" s="1" t="s">
        <v>167</v>
      </c>
    </row>
    <row r="22" spans="1:4" x14ac:dyDescent="0.25">
      <c r="A22" s="3">
        <v>21</v>
      </c>
      <c r="B22" s="5"/>
      <c r="C22" s="5"/>
      <c r="D22" s="1" t="s">
        <v>167</v>
      </c>
    </row>
    <row r="23" spans="1:4" x14ac:dyDescent="0.25">
      <c r="A23" s="3">
        <v>22</v>
      </c>
      <c r="B23" s="5"/>
      <c r="C23" s="5"/>
      <c r="D23" s="1" t="s">
        <v>167</v>
      </c>
    </row>
    <row r="24" spans="1:4" x14ac:dyDescent="0.25">
      <c r="A24" s="3">
        <v>23</v>
      </c>
      <c r="B24" s="5"/>
      <c r="C24" s="5"/>
      <c r="D24" s="1" t="s">
        <v>167</v>
      </c>
    </row>
    <row r="25" spans="1:4" x14ac:dyDescent="0.25">
      <c r="A25" s="3">
        <v>24</v>
      </c>
      <c r="B25" s="5"/>
      <c r="C25" s="5"/>
      <c r="D25" s="1" t="s">
        <v>167</v>
      </c>
    </row>
    <row r="26" spans="1:4" x14ac:dyDescent="0.25">
      <c r="A26" s="3">
        <v>25</v>
      </c>
      <c r="B26" s="5"/>
      <c r="C26" s="5"/>
      <c r="D26" s="1" t="s">
        <v>167</v>
      </c>
    </row>
    <row r="27" spans="1:4" x14ac:dyDescent="0.25">
      <c r="A27" s="3">
        <v>26</v>
      </c>
      <c r="B27" s="5"/>
      <c r="C27" s="5"/>
      <c r="D27" s="1" t="s">
        <v>167</v>
      </c>
    </row>
    <row r="28" spans="1:4" x14ac:dyDescent="0.25">
      <c r="A28" s="3">
        <v>27</v>
      </c>
      <c r="B28" s="5"/>
      <c r="C28" s="5"/>
      <c r="D28" s="1" t="s">
        <v>167</v>
      </c>
    </row>
    <row r="29" spans="1:4" x14ac:dyDescent="0.25">
      <c r="A29" s="3">
        <v>28</v>
      </c>
      <c r="B29" s="5"/>
      <c r="C29" s="5"/>
      <c r="D29" s="1" t="s">
        <v>167</v>
      </c>
    </row>
    <row r="30" spans="1:4" x14ac:dyDescent="0.25">
      <c r="A30" s="3">
        <v>29</v>
      </c>
      <c r="B30" s="5"/>
      <c r="C30" s="5"/>
      <c r="D30" s="1" t="s">
        <v>167</v>
      </c>
    </row>
    <row r="31" spans="1:4" x14ac:dyDescent="0.25">
      <c r="A31" s="3">
        <v>30</v>
      </c>
      <c r="B31" s="5"/>
      <c r="C31" s="5"/>
      <c r="D31" s="1" t="s">
        <v>167</v>
      </c>
    </row>
    <row r="32" spans="1:4" x14ac:dyDescent="0.25">
      <c r="A32" s="3">
        <v>31</v>
      </c>
      <c r="B32" s="5"/>
      <c r="C32" s="5"/>
      <c r="D32" s="1" t="s">
        <v>167</v>
      </c>
    </row>
    <row r="33" spans="1:4" x14ac:dyDescent="0.25">
      <c r="A33" s="3">
        <v>32</v>
      </c>
      <c r="B33" s="5"/>
      <c r="C33" s="5"/>
      <c r="D33" s="1" t="s">
        <v>167</v>
      </c>
    </row>
    <row r="34" spans="1:4" x14ac:dyDescent="0.25">
      <c r="A34" s="3">
        <v>33</v>
      </c>
      <c r="B34" s="5"/>
      <c r="C34" s="5"/>
      <c r="D34" s="1" t="s">
        <v>167</v>
      </c>
    </row>
    <row r="35" spans="1:4" x14ac:dyDescent="0.25">
      <c r="A35" s="3">
        <v>34</v>
      </c>
      <c r="B35" s="5"/>
      <c r="C35" s="5"/>
      <c r="D35" s="1" t="s">
        <v>167</v>
      </c>
    </row>
    <row r="36" spans="1:4" x14ac:dyDescent="0.25">
      <c r="A36" s="3">
        <v>35</v>
      </c>
      <c r="B36" s="5"/>
      <c r="C36" s="5"/>
      <c r="D36" s="1" t="s">
        <v>167</v>
      </c>
    </row>
    <row r="37" spans="1:4" x14ac:dyDescent="0.25">
      <c r="A37" s="3">
        <v>36</v>
      </c>
      <c r="B37" s="5"/>
      <c r="C37" s="5"/>
      <c r="D37" s="1" t="s">
        <v>167</v>
      </c>
    </row>
    <row r="38" spans="1:4" x14ac:dyDescent="0.25">
      <c r="A38" s="3">
        <v>37</v>
      </c>
      <c r="B38" s="5"/>
      <c r="C38" s="5"/>
      <c r="D38" s="1" t="s">
        <v>167</v>
      </c>
    </row>
    <row r="39" spans="1:4" x14ac:dyDescent="0.25">
      <c r="A39" s="3">
        <v>38</v>
      </c>
      <c r="B39" s="5"/>
      <c r="C39" s="5"/>
      <c r="D39" s="1" t="s">
        <v>167</v>
      </c>
    </row>
    <row r="40" spans="1:4" x14ac:dyDescent="0.25">
      <c r="A40" s="3">
        <v>39</v>
      </c>
      <c r="B40" s="5"/>
      <c r="C40" s="5"/>
      <c r="D40" s="1" t="s">
        <v>167</v>
      </c>
    </row>
    <row r="41" spans="1:4" x14ac:dyDescent="0.25">
      <c r="A41" s="3">
        <v>40</v>
      </c>
      <c r="B41" s="5"/>
      <c r="C41" s="5"/>
      <c r="D41" s="1" t="s">
        <v>167</v>
      </c>
    </row>
    <row r="42" spans="1:4" x14ac:dyDescent="0.25">
      <c r="A42" s="3">
        <v>41</v>
      </c>
      <c r="B42" s="5"/>
      <c r="C42" s="5"/>
      <c r="D42" s="1" t="s">
        <v>167</v>
      </c>
    </row>
    <row r="43" spans="1:4" x14ac:dyDescent="0.25">
      <c r="A43" s="3">
        <v>42</v>
      </c>
      <c r="B43" s="5"/>
      <c r="C43" s="5"/>
      <c r="D43" s="1" t="s">
        <v>167</v>
      </c>
    </row>
    <row r="44" spans="1:4" x14ac:dyDescent="0.25">
      <c r="A44" s="3">
        <v>43</v>
      </c>
      <c r="B44" s="5"/>
      <c r="C44" s="5"/>
      <c r="D44" s="1" t="s">
        <v>167</v>
      </c>
    </row>
    <row r="45" spans="1:4" x14ac:dyDescent="0.25">
      <c r="A45" s="3">
        <v>44</v>
      </c>
      <c r="B45" s="5"/>
      <c r="C45" s="5"/>
      <c r="D45" s="1" t="s">
        <v>167</v>
      </c>
    </row>
    <row r="46" spans="1:4" x14ac:dyDescent="0.25">
      <c r="A46" s="3">
        <v>45</v>
      </c>
      <c r="B46" s="5"/>
      <c r="C46" s="5"/>
      <c r="D46" s="1" t="s">
        <v>167</v>
      </c>
    </row>
    <row r="47" spans="1:4" x14ac:dyDescent="0.25">
      <c r="A47" s="3">
        <v>46</v>
      </c>
      <c r="B47" s="5"/>
      <c r="C47" s="5"/>
      <c r="D47" s="1" t="s">
        <v>167</v>
      </c>
    </row>
    <row r="48" spans="1:4" x14ac:dyDescent="0.25">
      <c r="A48" s="3">
        <v>47</v>
      </c>
      <c r="B48" s="5"/>
      <c r="C48" s="5"/>
      <c r="D48" s="1" t="s">
        <v>167</v>
      </c>
    </row>
    <row r="49" spans="1:4" x14ac:dyDescent="0.25">
      <c r="A49" s="3">
        <v>48</v>
      </c>
      <c r="B49" s="5"/>
      <c r="C49" s="5"/>
      <c r="D49" s="1" t="s">
        <v>167</v>
      </c>
    </row>
    <row r="50" spans="1:4" x14ac:dyDescent="0.25">
      <c r="A50" s="3">
        <v>49</v>
      </c>
      <c r="B50" s="5"/>
      <c r="C50" s="5"/>
      <c r="D50" s="1" t="s">
        <v>167</v>
      </c>
    </row>
    <row r="51" spans="1:4" x14ac:dyDescent="0.25">
      <c r="A51" s="3">
        <v>50</v>
      </c>
      <c r="B51" s="5"/>
      <c r="C51" s="5"/>
      <c r="D51" s="1" t="s">
        <v>167</v>
      </c>
    </row>
    <row r="52" spans="1:4" x14ac:dyDescent="0.25">
      <c r="A52" s="3">
        <v>51</v>
      </c>
      <c r="B52" s="5"/>
      <c r="C52" s="5"/>
      <c r="D52" s="1" t="s">
        <v>167</v>
      </c>
    </row>
    <row r="53" spans="1:4" x14ac:dyDescent="0.25">
      <c r="A53" s="3">
        <v>52</v>
      </c>
      <c r="B53" s="5"/>
      <c r="C53" s="5"/>
      <c r="D53" s="1" t="s">
        <v>167</v>
      </c>
    </row>
    <row r="54" spans="1:4" x14ac:dyDescent="0.25">
      <c r="A54" s="3">
        <v>53</v>
      </c>
      <c r="B54" s="5"/>
      <c r="C54" s="5"/>
      <c r="D54" s="1" t="s">
        <v>167</v>
      </c>
    </row>
    <row r="55" spans="1:4" x14ac:dyDescent="0.25">
      <c r="A55" s="3">
        <v>54</v>
      </c>
      <c r="B55" s="5"/>
      <c r="C55" s="5"/>
      <c r="D55" s="1" t="s">
        <v>167</v>
      </c>
    </row>
    <row r="56" spans="1:4" x14ac:dyDescent="0.25">
      <c r="A56" s="3">
        <v>55</v>
      </c>
      <c r="B56" s="5"/>
      <c r="C56" s="5"/>
      <c r="D56" s="1" t="s">
        <v>167</v>
      </c>
    </row>
    <row r="57" spans="1:4" x14ac:dyDescent="0.25">
      <c r="A57" s="3">
        <v>56</v>
      </c>
      <c r="B57" s="5"/>
      <c r="C57" s="5"/>
      <c r="D57" s="1" t="s">
        <v>167</v>
      </c>
    </row>
    <row r="58" spans="1:4" x14ac:dyDescent="0.25">
      <c r="A58" s="3">
        <v>57</v>
      </c>
      <c r="B58" s="5"/>
      <c r="C58" s="5"/>
      <c r="D58" s="1" t="s">
        <v>167</v>
      </c>
    </row>
    <row r="59" spans="1:4" x14ac:dyDescent="0.25">
      <c r="A59" s="3">
        <v>58</v>
      </c>
      <c r="B59" s="5"/>
      <c r="C59" s="5"/>
      <c r="D59" s="1" t="s">
        <v>167</v>
      </c>
    </row>
    <row r="60" spans="1:4" x14ac:dyDescent="0.25">
      <c r="A60" s="3">
        <v>59</v>
      </c>
      <c r="B60" s="5"/>
      <c r="C60" s="5"/>
      <c r="D60" s="1" t="s">
        <v>167</v>
      </c>
    </row>
    <row r="61" spans="1:4" x14ac:dyDescent="0.25">
      <c r="A61" s="3">
        <v>60</v>
      </c>
      <c r="B61" s="5"/>
      <c r="C61" s="5"/>
      <c r="D61" s="1" t="s">
        <v>167</v>
      </c>
    </row>
    <row r="62" spans="1:4" x14ac:dyDescent="0.25">
      <c r="A62" s="3">
        <v>61</v>
      </c>
      <c r="B62" s="5"/>
      <c r="C62" s="5"/>
      <c r="D62" s="1" t="s">
        <v>167</v>
      </c>
    </row>
    <row r="63" spans="1:4" x14ac:dyDescent="0.25">
      <c r="A63" s="3">
        <v>62</v>
      </c>
      <c r="B63" s="5"/>
      <c r="C63" s="5"/>
      <c r="D63" s="1" t="s">
        <v>167</v>
      </c>
    </row>
    <row r="64" spans="1:4" x14ac:dyDescent="0.25">
      <c r="A64" s="3">
        <v>63</v>
      </c>
      <c r="B64" s="5"/>
      <c r="C64" s="5"/>
      <c r="D64" s="1" t="s">
        <v>167</v>
      </c>
    </row>
    <row r="65" spans="1:4" x14ac:dyDescent="0.25">
      <c r="A65" s="3">
        <v>64</v>
      </c>
      <c r="B65" s="5"/>
      <c r="C65" s="5"/>
      <c r="D65" s="1" t="s">
        <v>167</v>
      </c>
    </row>
    <row r="66" spans="1:4" x14ac:dyDescent="0.25">
      <c r="A66" s="3">
        <v>65</v>
      </c>
      <c r="B66" s="5"/>
      <c r="C66" s="5"/>
      <c r="D66" s="1" t="s">
        <v>167</v>
      </c>
    </row>
    <row r="67" spans="1:4" x14ac:dyDescent="0.25">
      <c r="A67" s="3">
        <v>66</v>
      </c>
      <c r="B67" s="5"/>
      <c r="C67" s="5"/>
      <c r="D67" s="1" t="s">
        <v>167</v>
      </c>
    </row>
    <row r="68" spans="1:4" x14ac:dyDescent="0.25">
      <c r="A68" s="3">
        <v>67</v>
      </c>
      <c r="B68" s="5"/>
      <c r="C68" s="5"/>
      <c r="D68" s="1" t="s">
        <v>167</v>
      </c>
    </row>
    <row r="69" spans="1:4" x14ac:dyDescent="0.25">
      <c r="A69" s="3">
        <v>68</v>
      </c>
      <c r="B69" s="5"/>
      <c r="C69" s="5"/>
      <c r="D69" s="1" t="s">
        <v>167</v>
      </c>
    </row>
    <row r="70" spans="1:4" x14ac:dyDescent="0.25">
      <c r="A70" s="3">
        <v>69</v>
      </c>
      <c r="B70" s="5"/>
      <c r="C70" s="5"/>
      <c r="D70" s="1" t="s">
        <v>167</v>
      </c>
    </row>
    <row r="71" spans="1:4" x14ac:dyDescent="0.25">
      <c r="A71" s="3">
        <v>70</v>
      </c>
      <c r="B71" s="5"/>
      <c r="C71" s="5"/>
      <c r="D71" s="1" t="s">
        <v>167</v>
      </c>
    </row>
    <row r="72" spans="1:4" x14ac:dyDescent="0.25">
      <c r="A72" s="3">
        <v>71</v>
      </c>
      <c r="B72" s="5"/>
      <c r="C72" s="5"/>
      <c r="D72" s="1" t="s">
        <v>167</v>
      </c>
    </row>
    <row r="73" spans="1:4" ht="15.75" thickBot="1" x14ac:dyDescent="0.3">
      <c r="A73" s="4">
        <v>72</v>
      </c>
      <c r="B73" s="6"/>
      <c r="C73" s="6"/>
      <c r="D73" s="2" t="s">
        <v>167</v>
      </c>
    </row>
  </sheetData>
  <conditionalFormatting sqref="D2:D73">
    <cfRule type="containsText" dxfId="2" priority="1" operator="containsText" text="In Progress">
      <formula>NOT(ISERROR(SEARCH("In Progress",D2)))</formula>
    </cfRule>
    <cfRule type="containsText" dxfId="1" priority="2" operator="containsText" text="Not Completed">
      <formula>NOT(ISERROR(SEARCH("Not Completed",D2)))</formula>
    </cfRule>
    <cfRule type="containsText" dxfId="0" priority="3" operator="containsText" text="Completed">
      <formula>NOT(ISERROR(SEARCH("Completed",D2)))</formula>
    </cfRule>
  </conditionalFormatting>
  <dataValidations count="1">
    <dataValidation type="list" allowBlank="1" showInputMessage="1" showErrorMessage="1" sqref="D2:D73" xr:uid="{54D7311A-9A73-4F6E-A814-EEA50D2ACEF2}">
      <formula1>"Completed, Not Completed, In progress"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D3F0-61EB-4766-A44E-A21AFDD747EA}">
  <dimension ref="A1:LC94"/>
  <sheetViews>
    <sheetView zoomScale="88" zoomScaleNormal="88" workbookViewId="0">
      <pane ySplit="10" topLeftCell="A53" activePane="bottomLeft" state="frozen"/>
      <selection pane="bottomLeft" activeCell="H39" sqref="H39"/>
    </sheetView>
  </sheetViews>
  <sheetFormatPr defaultColWidth="8.7109375" defaultRowHeight="15" x14ac:dyDescent="0.25"/>
  <cols>
    <col min="1" max="1" width="7.5703125" style="51" bestFit="1" customWidth="1"/>
    <col min="2" max="2" width="51.5703125" style="65" customWidth="1"/>
    <col min="3" max="3" width="24.7109375" style="51" customWidth="1"/>
    <col min="4" max="4" width="13.42578125" style="65" bestFit="1" customWidth="1"/>
    <col min="5" max="5" width="17.42578125" style="67" customWidth="1"/>
    <col min="6" max="6" width="12.5703125" style="106" bestFit="1" customWidth="1"/>
    <col min="7" max="7" width="16" style="67" customWidth="1"/>
    <col min="8" max="8" width="15.5703125" style="110" customWidth="1"/>
    <col min="9" max="9" width="10.140625" style="51" bestFit="1" customWidth="1"/>
    <col min="10" max="10" width="11.140625" style="51" bestFit="1" customWidth="1"/>
    <col min="11" max="11" width="12" style="51" bestFit="1" customWidth="1"/>
    <col min="12" max="16384" width="8.7109375" style="51"/>
  </cols>
  <sheetData>
    <row r="1" spans="1:11" s="44" customFormat="1" x14ac:dyDescent="0.25"/>
    <row r="2" spans="1:11" s="44" customFormat="1" x14ac:dyDescent="0.25">
      <c r="B2" s="117"/>
      <c r="C2" s="118"/>
      <c r="D2" s="118"/>
      <c r="E2" s="102"/>
      <c r="F2" s="102"/>
      <c r="G2" s="102"/>
    </row>
    <row r="3" spans="1:11" s="44" customFormat="1" x14ac:dyDescent="0.25">
      <c r="B3" s="117"/>
      <c r="C3" s="119"/>
      <c r="D3" s="119"/>
      <c r="E3" s="103"/>
      <c r="F3" s="103"/>
      <c r="G3" s="103"/>
    </row>
    <row r="4" spans="1:11" s="44" customFormat="1" x14ac:dyDescent="0.25">
      <c r="B4" s="117"/>
      <c r="C4" s="84"/>
      <c r="D4" s="85"/>
      <c r="E4" s="85"/>
      <c r="F4" s="85"/>
      <c r="G4" s="85"/>
    </row>
    <row r="5" spans="1:11" s="44" customFormat="1" x14ac:dyDescent="0.25"/>
    <row r="6" spans="1:11" s="44" customFormat="1" x14ac:dyDescent="0.25"/>
    <row r="7" spans="1:11" s="44" customFormat="1" ht="19.5" thickBot="1" x14ac:dyDescent="0.3">
      <c r="B7" s="23" t="s">
        <v>11</v>
      </c>
    </row>
    <row r="8" spans="1:11" s="44" customFormat="1" ht="16.5" thickBot="1" x14ac:dyDescent="0.3">
      <c r="D8" s="86" t="s">
        <v>12</v>
      </c>
      <c r="E8" s="87"/>
      <c r="F8" s="87"/>
      <c r="G8" s="87"/>
      <c r="H8" s="104">
        <v>2026</v>
      </c>
    </row>
    <row r="9" spans="1:11" s="82" customFormat="1" ht="32.25" thickBot="1" x14ac:dyDescent="0.3">
      <c r="A9" s="88" t="s">
        <v>13</v>
      </c>
      <c r="B9" s="88" t="s">
        <v>14</v>
      </c>
      <c r="C9" s="56" t="s">
        <v>15</v>
      </c>
      <c r="D9" s="88" t="s">
        <v>16</v>
      </c>
      <c r="E9" s="56" t="s">
        <v>17</v>
      </c>
      <c r="F9" s="89" t="s">
        <v>20</v>
      </c>
      <c r="G9" s="88" t="s">
        <v>19</v>
      </c>
      <c r="H9" s="56" t="s">
        <v>21</v>
      </c>
    </row>
    <row r="10" spans="1:11" s="61" customFormat="1" x14ac:dyDescent="0.25">
      <c r="A10" s="51"/>
      <c r="B10" s="65"/>
      <c r="C10" s="51"/>
      <c r="D10" s="65"/>
      <c r="E10" s="67"/>
      <c r="F10" s="106"/>
      <c r="G10" s="67"/>
      <c r="H10" s="110"/>
      <c r="I10" s="51"/>
      <c r="J10" s="51"/>
      <c r="K10" s="51"/>
    </row>
    <row r="11" spans="1:11" s="62" customFormat="1" ht="20.25" x14ac:dyDescent="0.25">
      <c r="A11" s="69"/>
      <c r="B11" s="66" t="s">
        <v>22</v>
      </c>
      <c r="C11" s="69"/>
      <c r="D11" s="70"/>
      <c r="E11" s="71"/>
      <c r="F11" s="107"/>
      <c r="G11" s="71"/>
      <c r="H11" s="111"/>
    </row>
    <row r="12" spans="1:11" x14ac:dyDescent="0.25">
      <c r="A12" s="78">
        <v>1</v>
      </c>
      <c r="B12" s="47" t="s">
        <v>23</v>
      </c>
      <c r="C12" s="25" t="s">
        <v>10</v>
      </c>
      <c r="D12" s="47" t="s">
        <v>24</v>
      </c>
      <c r="E12" s="60">
        <v>365</v>
      </c>
      <c r="F12" s="46">
        <v>46157</v>
      </c>
      <c r="G12" s="47" t="s">
        <v>26</v>
      </c>
      <c r="H12" s="46">
        <v>46157</v>
      </c>
      <c r="I12" s="68"/>
      <c r="J12" s="72"/>
      <c r="K12" s="63"/>
    </row>
    <row r="13" spans="1:11" x14ac:dyDescent="0.25">
      <c r="A13" s="78">
        <v>2</v>
      </c>
      <c r="B13" s="47" t="s">
        <v>27</v>
      </c>
      <c r="C13" s="25" t="s">
        <v>10</v>
      </c>
      <c r="D13" s="47" t="s">
        <v>28</v>
      </c>
      <c r="E13" s="60">
        <f>365/4</f>
        <v>91.25</v>
      </c>
      <c r="F13" s="46">
        <v>46203</v>
      </c>
      <c r="G13" s="47"/>
      <c r="H13" s="46">
        <v>46203</v>
      </c>
    </row>
    <row r="14" spans="1:11" x14ac:dyDescent="0.25">
      <c r="A14" s="78">
        <v>3</v>
      </c>
      <c r="B14" s="47" t="s">
        <v>29</v>
      </c>
      <c r="C14" s="25" t="s">
        <v>10</v>
      </c>
      <c r="D14" s="47" t="s">
        <v>30</v>
      </c>
      <c r="E14" s="60">
        <v>365</v>
      </c>
      <c r="F14" s="46">
        <v>46164</v>
      </c>
      <c r="G14" s="47" t="s">
        <v>26</v>
      </c>
      <c r="H14" s="46">
        <v>46164</v>
      </c>
      <c r="K14" s="63"/>
    </row>
    <row r="15" spans="1:11" x14ac:dyDescent="0.25">
      <c r="A15" s="78">
        <v>4</v>
      </c>
      <c r="B15" s="47" t="s">
        <v>31</v>
      </c>
      <c r="C15" s="25" t="s">
        <v>10</v>
      </c>
      <c r="D15" s="47" t="s">
        <v>32</v>
      </c>
      <c r="E15" s="60">
        <v>365</v>
      </c>
      <c r="F15" s="46">
        <v>46157</v>
      </c>
      <c r="G15" s="47" t="s">
        <v>26</v>
      </c>
      <c r="H15" s="46">
        <v>46157</v>
      </c>
    </row>
    <row r="16" spans="1:11" x14ac:dyDescent="0.25">
      <c r="A16" s="78">
        <v>5</v>
      </c>
      <c r="B16" s="47" t="s">
        <v>33</v>
      </c>
      <c r="C16" s="25" t="s">
        <v>10</v>
      </c>
      <c r="D16" s="47" t="s">
        <v>34</v>
      </c>
      <c r="E16" s="60">
        <v>365</v>
      </c>
      <c r="F16" s="46">
        <v>46157</v>
      </c>
      <c r="G16" s="47" t="s">
        <v>26</v>
      </c>
      <c r="H16" s="46">
        <v>46157</v>
      </c>
    </row>
    <row r="17" spans="1:11" x14ac:dyDescent="0.25">
      <c r="A17" s="78">
        <v>6</v>
      </c>
      <c r="B17" s="47" t="s">
        <v>35</v>
      </c>
      <c r="C17" s="25" t="s">
        <v>10</v>
      </c>
      <c r="D17" s="47" t="s">
        <v>36</v>
      </c>
      <c r="E17" s="60">
        <v>365</v>
      </c>
      <c r="F17" s="46">
        <v>46164</v>
      </c>
      <c r="G17" s="47" t="s">
        <v>26</v>
      </c>
      <c r="H17" s="46">
        <v>46164</v>
      </c>
      <c r="K17" s="63"/>
    </row>
    <row r="18" spans="1:11" x14ac:dyDescent="0.25">
      <c r="A18" s="78">
        <v>8</v>
      </c>
      <c r="B18" s="47" t="s">
        <v>37</v>
      </c>
      <c r="C18" s="25" t="s">
        <v>10</v>
      </c>
      <c r="D18" s="47" t="s">
        <v>34</v>
      </c>
      <c r="E18" s="60">
        <f>365/4</f>
        <v>91.25</v>
      </c>
      <c r="F18" s="46">
        <v>46164</v>
      </c>
      <c r="G18" s="47" t="s">
        <v>26</v>
      </c>
      <c r="H18" s="46">
        <v>46164</v>
      </c>
    </row>
    <row r="19" spans="1:11" x14ac:dyDescent="0.25">
      <c r="A19" s="78">
        <v>9</v>
      </c>
      <c r="B19" s="47" t="s">
        <v>38</v>
      </c>
      <c r="C19" s="25" t="s">
        <v>10</v>
      </c>
      <c r="D19" s="47" t="s">
        <v>39</v>
      </c>
      <c r="E19" s="60">
        <f>365/4</f>
        <v>91.25</v>
      </c>
      <c r="F19" s="46">
        <v>46157</v>
      </c>
      <c r="G19" s="47" t="s">
        <v>26</v>
      </c>
      <c r="H19" s="46">
        <v>46157</v>
      </c>
    </row>
    <row r="20" spans="1:11" ht="20.25" x14ac:dyDescent="0.25">
      <c r="A20" s="78"/>
      <c r="B20" s="95" t="s">
        <v>40</v>
      </c>
      <c r="C20" s="25"/>
      <c r="D20" s="47"/>
      <c r="E20" s="60"/>
      <c r="F20" s="108"/>
      <c r="G20" s="47"/>
      <c r="H20" s="109" t="str">
        <f t="shared" ref="H20" si="0">IF(AND(F20&lt;&gt;"",E20&lt;&gt;""), F20 + E20, "")</f>
        <v/>
      </c>
    </row>
    <row r="21" spans="1:11" x14ac:dyDescent="0.25">
      <c r="A21" s="78">
        <v>1</v>
      </c>
      <c r="B21" s="47" t="s">
        <v>41</v>
      </c>
      <c r="C21" s="25" t="s">
        <v>10</v>
      </c>
      <c r="D21" s="47" t="s">
        <v>42</v>
      </c>
      <c r="E21" s="60">
        <f>365/2</f>
        <v>182.5</v>
      </c>
      <c r="F21" s="46">
        <v>46171</v>
      </c>
      <c r="G21" s="47" t="s">
        <v>26</v>
      </c>
      <c r="H21" s="109">
        <f t="shared" ref="H21:H52" si="1">IF(AND(F21&lt;&gt;"",E21&lt;&gt;""), F21 + E21, "")</f>
        <v>46353.5</v>
      </c>
    </row>
    <row r="22" spans="1:11" x14ac:dyDescent="0.25">
      <c r="A22" s="78">
        <v>2</v>
      </c>
      <c r="B22" s="47" t="s">
        <v>44</v>
      </c>
      <c r="C22" s="25" t="s">
        <v>10</v>
      </c>
      <c r="D22" s="47" t="s">
        <v>34</v>
      </c>
      <c r="E22" s="60">
        <f>365/2</f>
        <v>182.5</v>
      </c>
      <c r="F22" s="46">
        <v>46192</v>
      </c>
      <c r="G22" s="47"/>
      <c r="H22" s="109">
        <f t="shared" si="1"/>
        <v>46374.5</v>
      </c>
    </row>
    <row r="23" spans="1:11" x14ac:dyDescent="0.25">
      <c r="A23" s="78">
        <v>3</v>
      </c>
      <c r="B23" s="47" t="s">
        <v>46</v>
      </c>
      <c r="C23" s="25" t="s">
        <v>10</v>
      </c>
      <c r="D23" s="47" t="s">
        <v>42</v>
      </c>
      <c r="E23" s="60">
        <f>365/2</f>
        <v>182.5</v>
      </c>
      <c r="F23" s="46">
        <v>46171</v>
      </c>
      <c r="G23" s="47" t="s">
        <v>26</v>
      </c>
      <c r="H23" s="109">
        <f t="shared" si="1"/>
        <v>46353.5</v>
      </c>
    </row>
    <row r="24" spans="1:11" x14ac:dyDescent="0.25">
      <c r="A24" s="78">
        <v>4</v>
      </c>
      <c r="B24" s="47" t="s">
        <v>47</v>
      </c>
      <c r="C24" s="25" t="s">
        <v>10</v>
      </c>
      <c r="D24" s="47" t="s">
        <v>24</v>
      </c>
      <c r="E24" s="60">
        <v>60</v>
      </c>
      <c r="F24" s="46">
        <v>46157</v>
      </c>
      <c r="G24" s="47" t="s">
        <v>26</v>
      </c>
      <c r="H24" s="109">
        <f t="shared" si="1"/>
        <v>46217</v>
      </c>
    </row>
    <row r="25" spans="1:11" x14ac:dyDescent="0.25">
      <c r="A25" s="78">
        <v>5</v>
      </c>
      <c r="B25" s="47" t="s">
        <v>48</v>
      </c>
      <c r="C25" s="25" t="s">
        <v>10</v>
      </c>
      <c r="D25" s="47" t="s">
        <v>30</v>
      </c>
      <c r="E25" s="60">
        <v>60</v>
      </c>
      <c r="F25" s="46">
        <v>46164</v>
      </c>
      <c r="G25" s="47"/>
      <c r="H25" s="109">
        <f t="shared" si="1"/>
        <v>46224</v>
      </c>
    </row>
    <row r="26" spans="1:11" x14ac:dyDescent="0.25">
      <c r="A26" s="78">
        <v>6</v>
      </c>
      <c r="B26" s="47" t="s">
        <v>49</v>
      </c>
      <c r="C26" s="25" t="s">
        <v>10</v>
      </c>
      <c r="D26" s="47" t="s">
        <v>50</v>
      </c>
      <c r="E26" s="60">
        <f>365/2</f>
        <v>182.5</v>
      </c>
      <c r="F26" s="46">
        <v>46164</v>
      </c>
      <c r="G26" s="47" t="s">
        <v>26</v>
      </c>
      <c r="H26" s="109">
        <f t="shared" si="1"/>
        <v>46346.5</v>
      </c>
    </row>
    <row r="27" spans="1:11" x14ac:dyDescent="0.25">
      <c r="A27" s="78">
        <v>7</v>
      </c>
      <c r="B27" s="47" t="s">
        <v>51</v>
      </c>
      <c r="C27" s="25" t="s">
        <v>10</v>
      </c>
      <c r="D27" s="47" t="s">
        <v>52</v>
      </c>
      <c r="E27" s="60">
        <v>365</v>
      </c>
      <c r="F27" s="46">
        <v>46213</v>
      </c>
      <c r="G27" s="47"/>
      <c r="H27" s="109">
        <f t="shared" si="1"/>
        <v>46578</v>
      </c>
    </row>
    <row r="28" spans="1:11" x14ac:dyDescent="0.25">
      <c r="A28" s="78">
        <v>8</v>
      </c>
      <c r="B28" s="47" t="s">
        <v>53</v>
      </c>
      <c r="C28" s="25" t="s">
        <v>10</v>
      </c>
      <c r="D28" s="47" t="s">
        <v>42</v>
      </c>
      <c r="E28" s="60">
        <f>365/2</f>
        <v>182.5</v>
      </c>
      <c r="F28" s="46">
        <v>46171</v>
      </c>
      <c r="G28" s="47" t="s">
        <v>26</v>
      </c>
      <c r="H28" s="109">
        <f t="shared" si="1"/>
        <v>46353.5</v>
      </c>
    </row>
    <row r="29" spans="1:11" x14ac:dyDescent="0.25">
      <c r="A29" s="78">
        <v>9</v>
      </c>
      <c r="B29" s="47" t="s">
        <v>54</v>
      </c>
      <c r="C29" s="25" t="s">
        <v>10</v>
      </c>
      <c r="D29" s="47" t="s">
        <v>55</v>
      </c>
      <c r="E29" s="60">
        <v>365</v>
      </c>
      <c r="F29" s="46">
        <v>46171</v>
      </c>
      <c r="G29" s="47" t="s">
        <v>26</v>
      </c>
      <c r="H29" s="109">
        <f t="shared" si="1"/>
        <v>46536</v>
      </c>
    </row>
    <row r="30" spans="1:11" x14ac:dyDescent="0.25">
      <c r="A30" s="78">
        <v>10</v>
      </c>
      <c r="B30" s="47" t="s">
        <v>56</v>
      </c>
      <c r="C30" s="25" t="s">
        <v>10</v>
      </c>
      <c r="D30" s="47" t="s">
        <v>42</v>
      </c>
      <c r="E30" s="60">
        <f t="shared" ref="E30:E41" si="2">365/2</f>
        <v>182.5</v>
      </c>
      <c r="F30" s="46">
        <v>46171</v>
      </c>
      <c r="G30" s="47" t="s">
        <v>26</v>
      </c>
      <c r="H30" s="109">
        <f t="shared" si="1"/>
        <v>46353.5</v>
      </c>
    </row>
    <row r="31" spans="1:11" x14ac:dyDescent="0.25">
      <c r="A31" s="78">
        <v>11</v>
      </c>
      <c r="B31" s="47" t="s">
        <v>57</v>
      </c>
      <c r="C31" s="25" t="s">
        <v>10</v>
      </c>
      <c r="D31" s="47" t="s">
        <v>55</v>
      </c>
      <c r="E31" s="60">
        <f t="shared" si="2"/>
        <v>182.5</v>
      </c>
      <c r="F31" s="46">
        <v>46171</v>
      </c>
      <c r="G31" s="47" t="s">
        <v>26</v>
      </c>
      <c r="H31" s="109">
        <f t="shared" si="1"/>
        <v>46353.5</v>
      </c>
    </row>
    <row r="32" spans="1:11" x14ac:dyDescent="0.25">
      <c r="A32" s="78">
        <v>12</v>
      </c>
      <c r="B32" s="47" t="s">
        <v>58</v>
      </c>
      <c r="C32" s="25" t="s">
        <v>10</v>
      </c>
      <c r="D32" s="47" t="s">
        <v>30</v>
      </c>
      <c r="E32" s="60">
        <f t="shared" si="2"/>
        <v>182.5</v>
      </c>
      <c r="F32" s="46">
        <v>46148</v>
      </c>
      <c r="G32" s="47" t="s">
        <v>26</v>
      </c>
      <c r="H32" s="109">
        <f t="shared" si="1"/>
        <v>46330.5</v>
      </c>
    </row>
    <row r="33" spans="1:8" x14ac:dyDescent="0.25">
      <c r="A33" s="78">
        <v>13</v>
      </c>
      <c r="B33" s="47" t="s">
        <v>59</v>
      </c>
      <c r="C33" s="25" t="s">
        <v>10</v>
      </c>
      <c r="D33" s="47" t="s">
        <v>42</v>
      </c>
      <c r="E33" s="60">
        <f t="shared" si="2"/>
        <v>182.5</v>
      </c>
      <c r="F33" s="46">
        <v>46171</v>
      </c>
      <c r="G33" s="47" t="s">
        <v>26</v>
      </c>
      <c r="H33" s="109">
        <f t="shared" si="1"/>
        <v>46353.5</v>
      </c>
    </row>
    <row r="34" spans="1:8" x14ac:dyDescent="0.25">
      <c r="A34" s="78">
        <v>14</v>
      </c>
      <c r="B34" s="47" t="s">
        <v>152</v>
      </c>
      <c r="C34" s="25" t="s">
        <v>10</v>
      </c>
      <c r="D34" s="47" t="s">
        <v>61</v>
      </c>
      <c r="E34" s="60">
        <f t="shared" si="2"/>
        <v>182.5</v>
      </c>
      <c r="F34" s="46">
        <v>46171</v>
      </c>
      <c r="G34" s="47"/>
      <c r="H34" s="109">
        <f t="shared" si="1"/>
        <v>46353.5</v>
      </c>
    </row>
    <row r="35" spans="1:8" x14ac:dyDescent="0.25">
      <c r="A35" s="78">
        <v>15</v>
      </c>
      <c r="B35" s="47" t="s">
        <v>62</v>
      </c>
      <c r="C35" s="25" t="s">
        <v>10</v>
      </c>
      <c r="D35" s="47" t="s">
        <v>63</v>
      </c>
      <c r="E35" s="60">
        <f t="shared" si="2"/>
        <v>182.5</v>
      </c>
      <c r="F35" s="46">
        <v>46164</v>
      </c>
      <c r="G35" s="47" t="s">
        <v>26</v>
      </c>
      <c r="H35" s="109">
        <f t="shared" si="1"/>
        <v>46346.5</v>
      </c>
    </row>
    <row r="36" spans="1:8" x14ac:dyDescent="0.25">
      <c r="A36" s="78">
        <v>16</v>
      </c>
      <c r="B36" s="47" t="s">
        <v>64</v>
      </c>
      <c r="C36" s="25" t="s">
        <v>10</v>
      </c>
      <c r="D36" s="47" t="s">
        <v>63</v>
      </c>
      <c r="E36" s="60">
        <f t="shared" si="2"/>
        <v>182.5</v>
      </c>
      <c r="F36" s="46">
        <v>46164</v>
      </c>
      <c r="G36" s="47" t="s">
        <v>26</v>
      </c>
      <c r="H36" s="109">
        <f t="shared" si="1"/>
        <v>46346.5</v>
      </c>
    </row>
    <row r="37" spans="1:8" x14ac:dyDescent="0.25">
      <c r="A37" s="78">
        <v>17</v>
      </c>
      <c r="B37" s="47" t="s">
        <v>65</v>
      </c>
      <c r="C37" s="25" t="s">
        <v>10</v>
      </c>
      <c r="D37" s="47" t="s">
        <v>63</v>
      </c>
      <c r="E37" s="60">
        <f t="shared" si="2"/>
        <v>182.5</v>
      </c>
      <c r="F37" s="46">
        <v>46164</v>
      </c>
      <c r="G37" s="47" t="s">
        <v>26</v>
      </c>
      <c r="H37" s="109">
        <f t="shared" si="1"/>
        <v>46346.5</v>
      </c>
    </row>
    <row r="38" spans="1:8" x14ac:dyDescent="0.25">
      <c r="A38" s="78">
        <v>18</v>
      </c>
      <c r="B38" s="47" t="s">
        <v>66</v>
      </c>
      <c r="C38" s="25" t="s">
        <v>10</v>
      </c>
      <c r="D38" s="47" t="s">
        <v>36</v>
      </c>
      <c r="E38" s="60">
        <f t="shared" si="2"/>
        <v>182.5</v>
      </c>
      <c r="F38" s="46">
        <v>46164</v>
      </c>
      <c r="G38" s="47" t="s">
        <v>26</v>
      </c>
      <c r="H38" s="109">
        <f t="shared" si="1"/>
        <v>46346.5</v>
      </c>
    </row>
    <row r="39" spans="1:8" x14ac:dyDescent="0.25">
      <c r="A39" s="78">
        <v>19</v>
      </c>
      <c r="B39" s="47" t="s">
        <v>67</v>
      </c>
      <c r="C39" s="25" t="s">
        <v>10</v>
      </c>
      <c r="D39" s="47" t="s">
        <v>32</v>
      </c>
      <c r="E39" s="60">
        <f t="shared" si="2"/>
        <v>182.5</v>
      </c>
      <c r="F39" s="46">
        <v>46171</v>
      </c>
      <c r="G39" s="47" t="s">
        <v>26</v>
      </c>
      <c r="H39" s="109">
        <f t="shared" si="1"/>
        <v>46353.5</v>
      </c>
    </row>
    <row r="40" spans="1:8" x14ac:dyDescent="0.25">
      <c r="A40" s="78">
        <v>20</v>
      </c>
      <c r="B40" s="47" t="s">
        <v>68</v>
      </c>
      <c r="C40" s="25" t="s">
        <v>10</v>
      </c>
      <c r="D40" s="47" t="s">
        <v>61</v>
      </c>
      <c r="E40" s="60">
        <f t="shared" si="2"/>
        <v>182.5</v>
      </c>
      <c r="F40" s="46">
        <v>46171</v>
      </c>
      <c r="G40" s="47"/>
      <c r="H40" s="109">
        <f t="shared" si="1"/>
        <v>46353.5</v>
      </c>
    </row>
    <row r="41" spans="1:8" x14ac:dyDescent="0.25">
      <c r="A41" s="78">
        <v>21</v>
      </c>
      <c r="B41" s="47" t="s">
        <v>69</v>
      </c>
      <c r="C41" s="25" t="s">
        <v>10</v>
      </c>
      <c r="D41" s="47" t="s">
        <v>70</v>
      </c>
      <c r="E41" s="60">
        <f t="shared" si="2"/>
        <v>182.5</v>
      </c>
      <c r="F41" s="46">
        <v>46171</v>
      </c>
      <c r="G41" s="47"/>
      <c r="H41" s="109">
        <f t="shared" si="1"/>
        <v>46353.5</v>
      </c>
    </row>
    <row r="42" spans="1:8" x14ac:dyDescent="0.25">
      <c r="A42" s="78">
        <v>22</v>
      </c>
      <c r="B42" s="47" t="s">
        <v>71</v>
      </c>
      <c r="C42" s="25" t="s">
        <v>10</v>
      </c>
      <c r="D42" s="47" t="s">
        <v>50</v>
      </c>
      <c r="E42" s="60">
        <v>365</v>
      </c>
      <c r="F42" s="46">
        <v>46157</v>
      </c>
      <c r="G42" s="47" t="s">
        <v>26</v>
      </c>
      <c r="H42" s="109">
        <f t="shared" si="1"/>
        <v>46522</v>
      </c>
    </row>
    <row r="43" spans="1:8" x14ac:dyDescent="0.25">
      <c r="A43" s="78">
        <v>23</v>
      </c>
      <c r="B43" s="47" t="s">
        <v>72</v>
      </c>
      <c r="C43" s="25" t="s">
        <v>10</v>
      </c>
      <c r="D43" s="47" t="s">
        <v>73</v>
      </c>
      <c r="E43" s="60">
        <f>365/4</f>
        <v>91.25</v>
      </c>
      <c r="F43" s="46">
        <v>46188</v>
      </c>
      <c r="G43" s="47"/>
      <c r="H43" s="109">
        <f t="shared" si="1"/>
        <v>46279.25</v>
      </c>
    </row>
    <row r="44" spans="1:8" x14ac:dyDescent="0.25">
      <c r="A44" s="78">
        <v>24</v>
      </c>
      <c r="B44" s="47" t="s">
        <v>74</v>
      </c>
      <c r="C44" s="25" t="s">
        <v>10</v>
      </c>
      <c r="D44" s="47" t="s">
        <v>75</v>
      </c>
      <c r="E44" s="60">
        <f>365/2</f>
        <v>182.5</v>
      </c>
      <c r="F44" s="46">
        <v>46164</v>
      </c>
      <c r="G44" s="47"/>
      <c r="H44" s="109">
        <f t="shared" si="1"/>
        <v>46346.5</v>
      </c>
    </row>
    <row r="45" spans="1:8" x14ac:dyDescent="0.25">
      <c r="A45" s="78">
        <v>25</v>
      </c>
      <c r="B45" s="47" t="s">
        <v>76</v>
      </c>
      <c r="C45" s="25" t="s">
        <v>10</v>
      </c>
      <c r="D45" s="47" t="s">
        <v>30</v>
      </c>
      <c r="E45" s="60">
        <v>365</v>
      </c>
      <c r="F45" s="46">
        <v>46164</v>
      </c>
      <c r="G45" s="47"/>
      <c r="H45" s="109">
        <f t="shared" si="1"/>
        <v>46529</v>
      </c>
    </row>
    <row r="46" spans="1:8" x14ac:dyDescent="0.25">
      <c r="A46" s="78">
        <v>26</v>
      </c>
      <c r="B46" s="47" t="s">
        <v>77</v>
      </c>
      <c r="C46" s="25" t="s">
        <v>10</v>
      </c>
      <c r="D46" s="47" t="s">
        <v>61</v>
      </c>
      <c r="E46" s="60">
        <v>365</v>
      </c>
      <c r="F46" s="46">
        <v>46164</v>
      </c>
      <c r="G46" s="47" t="s">
        <v>26</v>
      </c>
      <c r="H46" s="109">
        <f t="shared" si="1"/>
        <v>46529</v>
      </c>
    </row>
    <row r="47" spans="1:8" x14ac:dyDescent="0.25">
      <c r="A47" s="78">
        <v>27</v>
      </c>
      <c r="B47" s="47" t="s">
        <v>78</v>
      </c>
      <c r="C47" s="25" t="s">
        <v>10</v>
      </c>
      <c r="D47" s="47" t="s">
        <v>42</v>
      </c>
      <c r="E47" s="60">
        <v>365</v>
      </c>
      <c r="F47" s="46">
        <v>46171</v>
      </c>
      <c r="G47" s="47" t="s">
        <v>26</v>
      </c>
      <c r="H47" s="109">
        <f t="shared" si="1"/>
        <v>46536</v>
      </c>
    </row>
    <row r="48" spans="1:8" x14ac:dyDescent="0.25">
      <c r="A48" s="78">
        <v>28</v>
      </c>
      <c r="B48" s="47" t="s">
        <v>79</v>
      </c>
      <c r="C48" s="25" t="s">
        <v>10</v>
      </c>
      <c r="D48" s="47" t="s">
        <v>63</v>
      </c>
      <c r="E48" s="60">
        <v>365</v>
      </c>
      <c r="F48" s="46">
        <v>46171</v>
      </c>
      <c r="G48" s="47"/>
      <c r="H48" s="109">
        <f t="shared" si="1"/>
        <v>46536</v>
      </c>
    </row>
    <row r="49" spans="1:8" x14ac:dyDescent="0.25">
      <c r="A49" s="78">
        <v>29</v>
      </c>
      <c r="B49" s="47" t="s">
        <v>80</v>
      </c>
      <c r="C49" s="25" t="s">
        <v>10</v>
      </c>
      <c r="D49" s="47" t="s">
        <v>81</v>
      </c>
      <c r="E49" s="60">
        <f>365/2</f>
        <v>182.5</v>
      </c>
      <c r="F49" s="46">
        <v>46157</v>
      </c>
      <c r="G49" s="47" t="s">
        <v>26</v>
      </c>
      <c r="H49" s="109">
        <f t="shared" si="1"/>
        <v>46339.5</v>
      </c>
    </row>
    <row r="50" spans="1:8" x14ac:dyDescent="0.25">
      <c r="A50" s="78">
        <v>30</v>
      </c>
      <c r="B50" s="47" t="s">
        <v>82</v>
      </c>
      <c r="C50" s="25" t="s">
        <v>10</v>
      </c>
      <c r="D50" s="47" t="s">
        <v>83</v>
      </c>
      <c r="E50" s="60">
        <f>365/2</f>
        <v>182.5</v>
      </c>
      <c r="F50" s="46">
        <v>46164</v>
      </c>
      <c r="G50" s="47"/>
      <c r="H50" s="109">
        <f t="shared" si="1"/>
        <v>46346.5</v>
      </c>
    </row>
    <row r="51" spans="1:8" x14ac:dyDescent="0.25">
      <c r="A51" s="78">
        <v>31</v>
      </c>
      <c r="B51" s="47" t="s">
        <v>84</v>
      </c>
      <c r="C51" s="25" t="s">
        <v>10</v>
      </c>
      <c r="D51" s="47" t="s">
        <v>73</v>
      </c>
      <c r="E51" s="60">
        <f>365/2</f>
        <v>182.5</v>
      </c>
      <c r="F51" s="46">
        <v>46167</v>
      </c>
      <c r="G51" s="47" t="s">
        <v>26</v>
      </c>
      <c r="H51" s="109">
        <f t="shared" si="1"/>
        <v>46349.5</v>
      </c>
    </row>
    <row r="52" spans="1:8" x14ac:dyDescent="0.25">
      <c r="A52" s="78">
        <v>32</v>
      </c>
      <c r="B52" s="47" t="s">
        <v>85</v>
      </c>
      <c r="C52" s="25" t="s">
        <v>10</v>
      </c>
      <c r="D52" s="47" t="s">
        <v>83</v>
      </c>
      <c r="E52" s="60">
        <f>365/2</f>
        <v>182.5</v>
      </c>
      <c r="F52" s="46">
        <v>46185</v>
      </c>
      <c r="G52" s="47"/>
      <c r="H52" s="109">
        <f t="shared" si="1"/>
        <v>46367.5</v>
      </c>
    </row>
    <row r="53" spans="1:8" x14ac:dyDescent="0.25">
      <c r="A53" s="78">
        <v>33</v>
      </c>
      <c r="B53" s="47" t="s">
        <v>86</v>
      </c>
      <c r="C53" s="25" t="s">
        <v>10</v>
      </c>
      <c r="D53" s="47" t="s">
        <v>36</v>
      </c>
      <c r="E53" s="60">
        <f>365/2</f>
        <v>182.5</v>
      </c>
      <c r="F53" s="46">
        <v>46164</v>
      </c>
      <c r="G53" s="47"/>
      <c r="H53" s="109">
        <f t="shared" ref="H53:H84" si="3">IF(AND(F53&lt;&gt;"",E53&lt;&gt;""), F53 + E53, "")</f>
        <v>46346.5</v>
      </c>
    </row>
    <row r="54" spans="1:8" x14ac:dyDescent="0.25">
      <c r="A54" s="78">
        <v>34</v>
      </c>
      <c r="B54" s="47" t="s">
        <v>87</v>
      </c>
      <c r="C54" s="25" t="s">
        <v>10</v>
      </c>
      <c r="D54" s="47" t="s">
        <v>50</v>
      </c>
      <c r="E54" s="60">
        <v>365</v>
      </c>
      <c r="F54" s="46">
        <v>46164</v>
      </c>
      <c r="G54" s="47" t="s">
        <v>26</v>
      </c>
      <c r="H54" s="109">
        <f t="shared" si="3"/>
        <v>46529</v>
      </c>
    </row>
    <row r="55" spans="1:8" x14ac:dyDescent="0.25">
      <c r="A55" s="78">
        <v>35</v>
      </c>
      <c r="B55" s="47" t="s">
        <v>88</v>
      </c>
      <c r="C55" s="25" t="s">
        <v>10</v>
      </c>
      <c r="D55" s="47" t="s">
        <v>75</v>
      </c>
      <c r="E55" s="60">
        <v>365</v>
      </c>
      <c r="F55" s="46">
        <v>46164</v>
      </c>
      <c r="G55" s="47"/>
      <c r="H55" s="109">
        <f t="shared" si="3"/>
        <v>46529</v>
      </c>
    </row>
    <row r="56" spans="1:8" x14ac:dyDescent="0.25">
      <c r="A56" s="78">
        <v>36</v>
      </c>
      <c r="B56" s="47" t="s">
        <v>89</v>
      </c>
      <c r="C56" s="25" t="s">
        <v>10</v>
      </c>
      <c r="D56" s="47" t="s">
        <v>63</v>
      </c>
      <c r="E56" s="60">
        <f>365/4</f>
        <v>91.25</v>
      </c>
      <c r="F56" s="46">
        <v>46164</v>
      </c>
      <c r="G56" s="47" t="s">
        <v>26</v>
      </c>
      <c r="H56" s="109">
        <f t="shared" si="3"/>
        <v>46255.25</v>
      </c>
    </row>
    <row r="57" spans="1:8" x14ac:dyDescent="0.25">
      <c r="A57" s="78">
        <v>37</v>
      </c>
      <c r="B57" s="47" t="s">
        <v>154</v>
      </c>
      <c r="C57" s="25" t="s">
        <v>10</v>
      </c>
      <c r="D57" s="47" t="s">
        <v>91</v>
      </c>
      <c r="E57" s="60">
        <v>365</v>
      </c>
      <c r="F57" s="46">
        <v>46156</v>
      </c>
      <c r="G57" s="47" t="s">
        <v>26</v>
      </c>
      <c r="H57" s="109">
        <f t="shared" si="3"/>
        <v>46521</v>
      </c>
    </row>
    <row r="58" spans="1:8" x14ac:dyDescent="0.25">
      <c r="A58" s="78">
        <v>38</v>
      </c>
      <c r="B58" s="47" t="s">
        <v>92</v>
      </c>
      <c r="C58" s="25" t="s">
        <v>10</v>
      </c>
      <c r="D58" s="47" t="s">
        <v>55</v>
      </c>
      <c r="E58" s="60">
        <f>365/2</f>
        <v>182.5</v>
      </c>
      <c r="F58" s="46">
        <v>46171</v>
      </c>
      <c r="G58" s="47" t="s">
        <v>26</v>
      </c>
      <c r="H58" s="109">
        <f t="shared" si="3"/>
        <v>46353.5</v>
      </c>
    </row>
    <row r="59" spans="1:8" x14ac:dyDescent="0.25">
      <c r="A59" s="78">
        <v>39</v>
      </c>
      <c r="B59" s="47" t="s">
        <v>93</v>
      </c>
      <c r="C59" s="25" t="s">
        <v>10</v>
      </c>
      <c r="D59" s="47" t="s">
        <v>30</v>
      </c>
      <c r="E59" s="60">
        <v>365</v>
      </c>
      <c r="F59" s="46">
        <v>46164</v>
      </c>
      <c r="G59" s="47"/>
      <c r="H59" s="109">
        <f t="shared" si="3"/>
        <v>46529</v>
      </c>
    </row>
    <row r="60" spans="1:8" x14ac:dyDescent="0.25">
      <c r="A60" s="78">
        <v>40</v>
      </c>
      <c r="B60" s="47" t="s">
        <v>94</v>
      </c>
      <c r="C60" s="25" t="s">
        <v>10</v>
      </c>
      <c r="D60" s="47" t="s">
        <v>32</v>
      </c>
      <c r="E60" s="60">
        <f>365/2</f>
        <v>182.5</v>
      </c>
      <c r="F60" s="46">
        <v>46164</v>
      </c>
      <c r="G60" s="47" t="s">
        <v>26</v>
      </c>
      <c r="H60" s="109">
        <f t="shared" si="3"/>
        <v>46346.5</v>
      </c>
    </row>
    <row r="61" spans="1:8" x14ac:dyDescent="0.25">
      <c r="A61" s="78">
        <v>41</v>
      </c>
      <c r="B61" s="47" t="s">
        <v>95</v>
      </c>
      <c r="C61" s="25" t="s">
        <v>10</v>
      </c>
      <c r="D61" s="47" t="s">
        <v>75</v>
      </c>
      <c r="E61" s="60">
        <v>365</v>
      </c>
      <c r="F61" s="46">
        <v>46164</v>
      </c>
      <c r="G61" s="47"/>
      <c r="H61" s="109">
        <f t="shared" si="3"/>
        <v>46529</v>
      </c>
    </row>
    <row r="62" spans="1:8" x14ac:dyDescent="0.25">
      <c r="A62" s="78">
        <v>42</v>
      </c>
      <c r="B62" s="47" t="s">
        <v>96</v>
      </c>
      <c r="C62" s="25" t="s">
        <v>10</v>
      </c>
      <c r="D62" s="47" t="s">
        <v>97</v>
      </c>
      <c r="E62" s="60">
        <v>365</v>
      </c>
      <c r="F62" s="46">
        <v>46150</v>
      </c>
      <c r="G62" s="47" t="s">
        <v>26</v>
      </c>
      <c r="H62" s="109">
        <f t="shared" si="3"/>
        <v>46515</v>
      </c>
    </row>
    <row r="63" spans="1:8" x14ac:dyDescent="0.25">
      <c r="A63" s="78">
        <v>43</v>
      </c>
      <c r="B63" s="47" t="s">
        <v>98</v>
      </c>
      <c r="C63" s="25" t="s">
        <v>10</v>
      </c>
      <c r="D63" s="47" t="s">
        <v>34</v>
      </c>
      <c r="E63" s="60">
        <f t="shared" ref="E63:E69" si="4">365/2</f>
        <v>182.5</v>
      </c>
      <c r="F63" s="46">
        <v>46164</v>
      </c>
      <c r="G63" s="47" t="s">
        <v>26</v>
      </c>
      <c r="H63" s="109">
        <f t="shared" si="3"/>
        <v>46346.5</v>
      </c>
    </row>
    <row r="64" spans="1:8" x14ac:dyDescent="0.25">
      <c r="A64" s="78">
        <v>44</v>
      </c>
      <c r="B64" s="47" t="s">
        <v>99</v>
      </c>
      <c r="C64" s="25" t="s">
        <v>10</v>
      </c>
      <c r="D64" s="47" t="s">
        <v>75</v>
      </c>
      <c r="E64" s="60">
        <f t="shared" si="4"/>
        <v>182.5</v>
      </c>
      <c r="F64" s="46">
        <v>46164</v>
      </c>
      <c r="G64" s="47"/>
      <c r="H64" s="109">
        <f t="shared" si="3"/>
        <v>46346.5</v>
      </c>
    </row>
    <row r="65" spans="1:8" x14ac:dyDescent="0.25">
      <c r="A65" s="78">
        <v>45</v>
      </c>
      <c r="B65" s="47" t="s">
        <v>100</v>
      </c>
      <c r="C65" s="25" t="s">
        <v>10</v>
      </c>
      <c r="D65" s="47" t="s">
        <v>50</v>
      </c>
      <c r="E65" s="60">
        <f t="shared" si="4"/>
        <v>182.5</v>
      </c>
      <c r="F65" s="46">
        <v>46164</v>
      </c>
      <c r="G65" s="47" t="s">
        <v>26</v>
      </c>
      <c r="H65" s="109">
        <f t="shared" si="3"/>
        <v>46346.5</v>
      </c>
    </row>
    <row r="66" spans="1:8" x14ac:dyDescent="0.25">
      <c r="A66" s="78">
        <v>46</v>
      </c>
      <c r="B66" s="47" t="s">
        <v>101</v>
      </c>
      <c r="C66" s="25" t="s">
        <v>10</v>
      </c>
      <c r="D66" s="47" t="s">
        <v>70</v>
      </c>
      <c r="E66" s="60">
        <f t="shared" si="4"/>
        <v>182.5</v>
      </c>
      <c r="F66" s="46">
        <v>46164</v>
      </c>
      <c r="G66" s="47" t="s">
        <v>26</v>
      </c>
      <c r="H66" s="109">
        <f t="shared" si="3"/>
        <v>46346.5</v>
      </c>
    </row>
    <row r="67" spans="1:8" x14ac:dyDescent="0.25">
      <c r="A67" s="78">
        <v>47</v>
      </c>
      <c r="B67" s="47" t="s">
        <v>102</v>
      </c>
      <c r="C67" s="25" t="s">
        <v>10</v>
      </c>
      <c r="D67" s="47" t="s">
        <v>55</v>
      </c>
      <c r="E67" s="60">
        <f t="shared" si="4"/>
        <v>182.5</v>
      </c>
      <c r="F67" s="46">
        <v>46171</v>
      </c>
      <c r="G67" s="47" t="s">
        <v>26</v>
      </c>
      <c r="H67" s="109">
        <f t="shared" si="3"/>
        <v>46353.5</v>
      </c>
    </row>
    <row r="68" spans="1:8" x14ac:dyDescent="0.25">
      <c r="A68" s="78">
        <v>48</v>
      </c>
      <c r="B68" s="47" t="s">
        <v>103</v>
      </c>
      <c r="C68" s="25" t="s">
        <v>10</v>
      </c>
      <c r="D68" s="47" t="s">
        <v>34</v>
      </c>
      <c r="E68" s="60">
        <f t="shared" si="4"/>
        <v>182.5</v>
      </c>
      <c r="F68" s="46">
        <v>46192</v>
      </c>
      <c r="G68" s="47"/>
      <c r="H68" s="109">
        <f t="shared" si="3"/>
        <v>46374.5</v>
      </c>
    </row>
    <row r="69" spans="1:8" x14ac:dyDescent="0.25">
      <c r="A69" s="78">
        <v>49</v>
      </c>
      <c r="B69" s="47" t="s">
        <v>104</v>
      </c>
      <c r="C69" s="25" t="s">
        <v>10</v>
      </c>
      <c r="D69" s="47" t="s">
        <v>36</v>
      </c>
      <c r="E69" s="60">
        <f t="shared" si="4"/>
        <v>182.5</v>
      </c>
      <c r="F69" s="46">
        <v>46164</v>
      </c>
      <c r="G69" s="47" t="s">
        <v>26</v>
      </c>
      <c r="H69" s="109">
        <f t="shared" si="3"/>
        <v>46346.5</v>
      </c>
    </row>
    <row r="70" spans="1:8" x14ac:dyDescent="0.25">
      <c r="A70" s="78">
        <v>50</v>
      </c>
      <c r="B70" s="47" t="s">
        <v>105</v>
      </c>
      <c r="C70" s="25" t="s">
        <v>10</v>
      </c>
      <c r="D70" s="47" t="s">
        <v>32</v>
      </c>
      <c r="E70" s="60">
        <v>30</v>
      </c>
      <c r="F70" s="46">
        <v>46164</v>
      </c>
      <c r="G70" s="47" t="s">
        <v>26</v>
      </c>
      <c r="H70" s="109">
        <f t="shared" si="3"/>
        <v>46194</v>
      </c>
    </row>
    <row r="71" spans="1:8" x14ac:dyDescent="0.25">
      <c r="A71" s="78">
        <v>51</v>
      </c>
      <c r="B71" s="47" t="s">
        <v>106</v>
      </c>
      <c r="C71" s="25" t="s">
        <v>10</v>
      </c>
      <c r="D71" s="47" t="s">
        <v>30</v>
      </c>
      <c r="E71" s="60">
        <f>365/2</f>
        <v>182.5</v>
      </c>
      <c r="F71" s="46">
        <v>46164</v>
      </c>
      <c r="G71" s="47"/>
      <c r="H71" s="109">
        <f t="shared" si="3"/>
        <v>46346.5</v>
      </c>
    </row>
    <row r="72" spans="1:8" x14ac:dyDescent="0.25">
      <c r="A72" s="78">
        <v>52</v>
      </c>
      <c r="B72" s="47" t="s">
        <v>107</v>
      </c>
      <c r="C72" s="25" t="s">
        <v>10</v>
      </c>
      <c r="D72" s="47" t="s">
        <v>108</v>
      </c>
      <c r="E72" s="60">
        <f>365/2</f>
        <v>182.5</v>
      </c>
      <c r="F72" s="46">
        <v>46156</v>
      </c>
      <c r="G72" s="47" t="s">
        <v>26</v>
      </c>
      <c r="H72" s="109">
        <f t="shared" si="3"/>
        <v>46338.5</v>
      </c>
    </row>
    <row r="73" spans="1:8" x14ac:dyDescent="0.25">
      <c r="A73" s="78">
        <v>53</v>
      </c>
      <c r="B73" s="47" t="s">
        <v>109</v>
      </c>
      <c r="C73" s="25"/>
      <c r="D73" s="47" t="s">
        <v>91</v>
      </c>
      <c r="E73" s="60">
        <v>365</v>
      </c>
      <c r="F73" s="46">
        <v>46171</v>
      </c>
      <c r="G73" s="47"/>
      <c r="H73" s="109">
        <f t="shared" si="3"/>
        <v>46536</v>
      </c>
    </row>
    <row r="74" spans="1:8" x14ac:dyDescent="0.25">
      <c r="A74" s="78">
        <v>54</v>
      </c>
      <c r="B74" s="47" t="s">
        <v>110</v>
      </c>
      <c r="C74" s="25" t="s">
        <v>10</v>
      </c>
      <c r="D74" s="47" t="s">
        <v>63</v>
      </c>
      <c r="E74" s="60">
        <f>365/2</f>
        <v>182.5</v>
      </c>
      <c r="F74" s="46">
        <v>46171</v>
      </c>
      <c r="G74" s="47"/>
      <c r="H74" s="109">
        <f t="shared" si="3"/>
        <v>46353.5</v>
      </c>
    </row>
    <row r="75" spans="1:8" x14ac:dyDescent="0.25">
      <c r="A75" s="78">
        <v>55</v>
      </c>
      <c r="B75" s="47" t="s">
        <v>111</v>
      </c>
      <c r="C75" s="25" t="s">
        <v>10</v>
      </c>
      <c r="D75" s="47" t="s">
        <v>32</v>
      </c>
      <c r="E75" s="60">
        <v>365</v>
      </c>
      <c r="F75" s="46">
        <v>46157</v>
      </c>
      <c r="G75" s="47" t="s">
        <v>26</v>
      </c>
      <c r="H75" s="109">
        <f t="shared" si="3"/>
        <v>46522</v>
      </c>
    </row>
    <row r="76" spans="1:8" x14ac:dyDescent="0.25">
      <c r="A76" s="78">
        <v>56</v>
      </c>
      <c r="B76" s="47" t="s">
        <v>112</v>
      </c>
      <c r="C76" s="25" t="s">
        <v>10</v>
      </c>
      <c r="D76" s="47" t="s">
        <v>42</v>
      </c>
      <c r="E76" s="60">
        <v>365</v>
      </c>
      <c r="F76" s="46">
        <v>46171</v>
      </c>
      <c r="G76" s="47" t="s">
        <v>26</v>
      </c>
      <c r="H76" s="109">
        <f t="shared" si="3"/>
        <v>46536</v>
      </c>
    </row>
    <row r="77" spans="1:8" x14ac:dyDescent="0.25">
      <c r="A77" s="78">
        <v>57</v>
      </c>
      <c r="B77" s="47" t="s">
        <v>113</v>
      </c>
      <c r="C77" s="25" t="s">
        <v>10</v>
      </c>
      <c r="D77" s="47" t="s">
        <v>114</v>
      </c>
      <c r="E77" s="60">
        <f>365/2</f>
        <v>182.5</v>
      </c>
      <c r="F77" s="46">
        <v>46171</v>
      </c>
      <c r="G77" s="47" t="s">
        <v>26</v>
      </c>
      <c r="H77" s="109">
        <f t="shared" si="3"/>
        <v>46353.5</v>
      </c>
    </row>
    <row r="78" spans="1:8" x14ac:dyDescent="0.25">
      <c r="A78" s="78">
        <v>58</v>
      </c>
      <c r="B78" s="47" t="s">
        <v>156</v>
      </c>
      <c r="C78" s="25" t="s">
        <v>10</v>
      </c>
      <c r="D78" s="47" t="s">
        <v>83</v>
      </c>
      <c r="E78" s="60">
        <f>365/2</f>
        <v>182.5</v>
      </c>
      <c r="F78" s="96" t="s">
        <v>157</v>
      </c>
      <c r="G78" s="75"/>
      <c r="H78" s="109" t="e">
        <f t="shared" si="3"/>
        <v>#VALUE!</v>
      </c>
    </row>
    <row r="79" spans="1:8" x14ac:dyDescent="0.25">
      <c r="A79" s="78">
        <v>59</v>
      </c>
      <c r="B79" s="47" t="s">
        <v>115</v>
      </c>
      <c r="C79" s="25" t="s">
        <v>10</v>
      </c>
      <c r="D79" s="47" t="s">
        <v>114</v>
      </c>
      <c r="E79" s="60">
        <f>365/2</f>
        <v>182.5</v>
      </c>
      <c r="F79" s="74">
        <v>46157</v>
      </c>
      <c r="G79" s="47" t="s">
        <v>26</v>
      </c>
      <c r="H79" s="109">
        <f t="shared" si="3"/>
        <v>46339.5</v>
      </c>
    </row>
    <row r="80" spans="1:8" x14ac:dyDescent="0.25">
      <c r="A80" s="78">
        <v>60</v>
      </c>
      <c r="B80" s="47" t="s">
        <v>116</v>
      </c>
      <c r="C80" s="25" t="s">
        <v>10</v>
      </c>
      <c r="D80" s="47" t="s">
        <v>50</v>
      </c>
      <c r="E80" s="60">
        <f>365/2</f>
        <v>182.5</v>
      </c>
      <c r="F80" s="46">
        <v>46164</v>
      </c>
      <c r="G80" s="47" t="s">
        <v>26</v>
      </c>
      <c r="H80" s="109">
        <f t="shared" si="3"/>
        <v>46346.5</v>
      </c>
    </row>
    <row r="81" spans="1:315" s="64" customFormat="1" x14ac:dyDescent="0.25">
      <c r="A81" s="78">
        <v>61</v>
      </c>
      <c r="B81" s="47" t="s">
        <v>117</v>
      </c>
      <c r="C81" s="25" t="s">
        <v>10</v>
      </c>
      <c r="D81" s="47" t="s">
        <v>61</v>
      </c>
      <c r="E81" s="60">
        <f>365/2</f>
        <v>182.5</v>
      </c>
      <c r="F81" s="80">
        <v>46185</v>
      </c>
      <c r="G81" s="47"/>
      <c r="H81" s="109">
        <f t="shared" si="3"/>
        <v>46367.5</v>
      </c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51"/>
      <c r="CU81" s="51"/>
      <c r="CV81" s="51"/>
      <c r="CW81" s="51"/>
      <c r="CX81" s="51"/>
      <c r="CY81" s="51"/>
      <c r="CZ81" s="51"/>
      <c r="DA81" s="51"/>
      <c r="DB81" s="51"/>
      <c r="DC81" s="51"/>
      <c r="DD81" s="51"/>
      <c r="DE81" s="51"/>
      <c r="DF81" s="51"/>
      <c r="DG81" s="51"/>
      <c r="DH81" s="51"/>
      <c r="DI81" s="51"/>
      <c r="DJ81" s="51"/>
      <c r="DK81" s="51"/>
      <c r="DL81" s="51"/>
      <c r="DM81" s="51"/>
      <c r="DN81" s="51"/>
      <c r="DO81" s="51"/>
      <c r="DP81" s="51"/>
      <c r="DQ81" s="51"/>
      <c r="DR81" s="51"/>
      <c r="DS81" s="51"/>
      <c r="DT81" s="51"/>
      <c r="DU81" s="51"/>
      <c r="DV81" s="51"/>
      <c r="DW81" s="51"/>
      <c r="DX81" s="51"/>
      <c r="DY81" s="51"/>
      <c r="DZ81" s="51"/>
      <c r="EA81" s="51"/>
      <c r="EB81" s="51"/>
      <c r="EC81" s="51"/>
      <c r="ED81" s="51"/>
      <c r="EE81" s="51"/>
      <c r="EF81" s="51"/>
      <c r="EG81" s="51"/>
      <c r="EH81" s="51"/>
      <c r="EI81" s="51"/>
      <c r="EJ81" s="51"/>
      <c r="EK81" s="51"/>
      <c r="EL81" s="51"/>
      <c r="EM81" s="51"/>
      <c r="EN81" s="51"/>
      <c r="EO81" s="51"/>
      <c r="EP81" s="51"/>
      <c r="EQ81" s="51"/>
      <c r="ER81" s="51"/>
      <c r="ES81" s="51"/>
      <c r="ET81" s="51"/>
      <c r="EU81" s="51"/>
      <c r="EV81" s="51"/>
      <c r="EW81" s="51"/>
      <c r="EX81" s="51"/>
      <c r="EY81" s="51"/>
      <c r="EZ81" s="51"/>
      <c r="FA81" s="51"/>
      <c r="FB81" s="51"/>
      <c r="FC81" s="51"/>
      <c r="FD81" s="51"/>
      <c r="FE81" s="51"/>
      <c r="FF81" s="51"/>
      <c r="FG81" s="51"/>
      <c r="FH81" s="51"/>
      <c r="FI81" s="51"/>
      <c r="FJ81" s="51"/>
      <c r="FK81" s="51"/>
      <c r="FL81" s="51"/>
      <c r="FM81" s="51"/>
      <c r="FN81" s="51"/>
      <c r="FO81" s="51"/>
      <c r="FP81" s="51"/>
      <c r="FQ81" s="51"/>
      <c r="FR81" s="51"/>
      <c r="FS81" s="51"/>
      <c r="FT81" s="51"/>
      <c r="FU81" s="51"/>
      <c r="FV81" s="51"/>
      <c r="FW81" s="51"/>
      <c r="FX81" s="51"/>
      <c r="FY81" s="51"/>
      <c r="FZ81" s="51"/>
      <c r="GA81" s="51"/>
      <c r="GB81" s="51"/>
      <c r="GC81" s="51"/>
      <c r="GD81" s="51"/>
      <c r="GE81" s="51"/>
      <c r="GF81" s="51"/>
      <c r="GG81" s="51"/>
      <c r="GH81" s="51"/>
      <c r="GI81" s="51"/>
      <c r="GJ81" s="51"/>
      <c r="GK81" s="51"/>
      <c r="GL81" s="51"/>
      <c r="GM81" s="51"/>
      <c r="GN81" s="51"/>
      <c r="GO81" s="51"/>
      <c r="GP81" s="51"/>
      <c r="GQ81" s="51"/>
      <c r="GR81" s="51"/>
      <c r="GS81" s="51"/>
      <c r="GT81" s="51"/>
      <c r="GU81" s="51"/>
      <c r="GV81" s="51"/>
      <c r="GW81" s="51"/>
      <c r="GX81" s="51"/>
      <c r="GY81" s="51"/>
      <c r="GZ81" s="51"/>
      <c r="HA81" s="51"/>
      <c r="HB81" s="51"/>
      <c r="HC81" s="51"/>
      <c r="HD81" s="51"/>
      <c r="HE81" s="51"/>
      <c r="HF81" s="51"/>
      <c r="HG81" s="51"/>
      <c r="HH81" s="51"/>
      <c r="HI81" s="51"/>
      <c r="HJ81" s="51"/>
      <c r="HK81" s="51"/>
      <c r="HL81" s="51"/>
      <c r="HM81" s="51"/>
      <c r="HN81" s="51"/>
      <c r="HO81" s="51"/>
      <c r="HP81" s="51"/>
      <c r="HQ81" s="51"/>
      <c r="HR81" s="51"/>
      <c r="HS81" s="51"/>
      <c r="HT81" s="51"/>
      <c r="HU81" s="51"/>
      <c r="HV81" s="51"/>
      <c r="HW81" s="51"/>
      <c r="HX81" s="51"/>
      <c r="HY81" s="51"/>
      <c r="HZ81" s="51"/>
      <c r="IA81" s="51"/>
      <c r="IB81" s="51"/>
      <c r="IC81" s="51"/>
      <c r="ID81" s="51"/>
      <c r="IE81" s="51"/>
      <c r="IF81" s="51"/>
      <c r="IG81" s="51"/>
      <c r="IH81" s="51"/>
      <c r="II81" s="51"/>
      <c r="IJ81" s="51"/>
      <c r="IK81" s="51"/>
      <c r="IL81" s="51"/>
      <c r="IM81" s="51"/>
      <c r="IN81" s="51"/>
      <c r="IO81" s="51"/>
      <c r="IP81" s="51"/>
      <c r="IQ81" s="51"/>
      <c r="IR81" s="51"/>
      <c r="IS81" s="51"/>
      <c r="IT81" s="51"/>
      <c r="IU81" s="51"/>
      <c r="IV81" s="51"/>
      <c r="IW81" s="51"/>
      <c r="IX81" s="51"/>
      <c r="IY81" s="51"/>
      <c r="IZ81" s="51"/>
      <c r="JA81" s="51"/>
      <c r="JB81" s="51"/>
      <c r="JC81" s="51"/>
      <c r="JD81" s="51"/>
      <c r="JE81" s="51"/>
      <c r="JF81" s="51"/>
      <c r="JG81" s="51"/>
      <c r="JH81" s="51"/>
      <c r="JI81" s="51"/>
      <c r="JJ81" s="51"/>
      <c r="JK81" s="51"/>
      <c r="JL81" s="51"/>
      <c r="JM81" s="51"/>
      <c r="JN81" s="51"/>
      <c r="JO81" s="51"/>
      <c r="JP81" s="51"/>
      <c r="JQ81" s="51"/>
      <c r="JR81" s="51"/>
      <c r="JS81" s="51"/>
      <c r="JT81" s="51"/>
      <c r="JU81" s="51"/>
      <c r="JV81" s="51"/>
      <c r="JW81" s="51"/>
      <c r="JX81" s="51"/>
      <c r="JY81" s="51"/>
      <c r="JZ81" s="51"/>
      <c r="KA81" s="51"/>
      <c r="KB81" s="51"/>
      <c r="KC81" s="51"/>
      <c r="KD81" s="51"/>
      <c r="KE81" s="51"/>
      <c r="KF81" s="51"/>
      <c r="KG81" s="51"/>
      <c r="KH81" s="51"/>
      <c r="KI81" s="51"/>
      <c r="KJ81" s="51"/>
      <c r="KK81" s="51"/>
      <c r="KL81" s="51"/>
      <c r="KM81" s="51"/>
      <c r="KN81" s="51"/>
      <c r="KO81" s="51"/>
      <c r="KP81" s="51"/>
      <c r="KQ81" s="51"/>
      <c r="KR81" s="51"/>
      <c r="KS81" s="51"/>
      <c r="KT81" s="51"/>
      <c r="KU81" s="51"/>
      <c r="KV81" s="51"/>
      <c r="KW81" s="51"/>
      <c r="KX81" s="51"/>
      <c r="KY81" s="51"/>
      <c r="KZ81" s="51"/>
      <c r="LA81" s="51"/>
      <c r="LB81" s="51"/>
      <c r="LC81" s="51"/>
    </row>
    <row r="82" spans="1:315" s="64" customFormat="1" x14ac:dyDescent="0.25">
      <c r="A82" s="78">
        <v>62</v>
      </c>
      <c r="B82" s="47" t="s">
        <v>118</v>
      </c>
      <c r="C82" s="25" t="s">
        <v>10</v>
      </c>
      <c r="D82" s="47" t="s">
        <v>34</v>
      </c>
      <c r="E82" s="60">
        <v>365</v>
      </c>
      <c r="F82" s="80">
        <v>46164</v>
      </c>
      <c r="G82" s="47"/>
      <c r="H82" s="109">
        <f t="shared" si="3"/>
        <v>46529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51"/>
      <c r="CY82" s="51"/>
      <c r="CZ82" s="51"/>
      <c r="DA82" s="51"/>
      <c r="DB82" s="51"/>
      <c r="DC82" s="51"/>
      <c r="DD82" s="51"/>
      <c r="DE82" s="51"/>
      <c r="DF82" s="51"/>
      <c r="DG82" s="51"/>
      <c r="DH82" s="51"/>
      <c r="DI82" s="51"/>
      <c r="DJ82" s="51"/>
      <c r="DK82" s="51"/>
      <c r="DL82" s="51"/>
      <c r="DM82" s="51"/>
      <c r="DN82" s="51"/>
      <c r="DO82" s="51"/>
      <c r="DP82" s="51"/>
      <c r="DQ82" s="51"/>
      <c r="DR82" s="51"/>
      <c r="DS82" s="51"/>
      <c r="DT82" s="51"/>
      <c r="DU82" s="51"/>
      <c r="DV82" s="51"/>
      <c r="DW82" s="51"/>
      <c r="DX82" s="51"/>
      <c r="DY82" s="51"/>
      <c r="DZ82" s="51"/>
      <c r="EA82" s="51"/>
      <c r="EB82" s="51"/>
      <c r="EC82" s="51"/>
      <c r="ED82" s="51"/>
      <c r="EE82" s="51"/>
      <c r="EF82" s="51"/>
      <c r="EG82" s="51"/>
      <c r="EH82" s="51"/>
      <c r="EI82" s="51"/>
      <c r="EJ82" s="51"/>
      <c r="EK82" s="51"/>
      <c r="EL82" s="51"/>
      <c r="EM82" s="51"/>
      <c r="EN82" s="51"/>
      <c r="EO82" s="51"/>
      <c r="EP82" s="51"/>
      <c r="EQ82" s="51"/>
      <c r="ER82" s="51"/>
      <c r="ES82" s="51"/>
      <c r="ET82" s="51"/>
      <c r="EU82" s="51"/>
      <c r="EV82" s="51"/>
      <c r="EW82" s="51"/>
      <c r="EX82" s="51"/>
      <c r="EY82" s="51"/>
      <c r="EZ82" s="51"/>
      <c r="FA82" s="51"/>
      <c r="FB82" s="51"/>
      <c r="FC82" s="51"/>
      <c r="FD82" s="51"/>
      <c r="FE82" s="51"/>
      <c r="FF82" s="51"/>
      <c r="FG82" s="51"/>
      <c r="FH82" s="51"/>
      <c r="FI82" s="51"/>
      <c r="FJ82" s="51"/>
      <c r="FK82" s="51"/>
      <c r="FL82" s="51"/>
      <c r="FM82" s="51"/>
      <c r="FN82" s="51"/>
      <c r="FO82" s="51"/>
      <c r="FP82" s="51"/>
      <c r="FQ82" s="51"/>
      <c r="FR82" s="51"/>
      <c r="FS82" s="51"/>
      <c r="FT82" s="51"/>
      <c r="FU82" s="51"/>
      <c r="FV82" s="51"/>
      <c r="FW82" s="51"/>
      <c r="FX82" s="51"/>
      <c r="FY82" s="51"/>
      <c r="FZ82" s="51"/>
      <c r="GA82" s="51"/>
      <c r="GB82" s="51"/>
      <c r="GC82" s="51"/>
      <c r="GD82" s="51"/>
      <c r="GE82" s="51"/>
      <c r="GF82" s="51"/>
      <c r="GG82" s="51"/>
      <c r="GH82" s="51"/>
      <c r="GI82" s="51"/>
      <c r="GJ82" s="51"/>
      <c r="GK82" s="51"/>
      <c r="GL82" s="51"/>
      <c r="GM82" s="51"/>
      <c r="GN82" s="51"/>
      <c r="GO82" s="51"/>
      <c r="GP82" s="51"/>
      <c r="GQ82" s="51"/>
      <c r="GR82" s="51"/>
      <c r="GS82" s="51"/>
      <c r="GT82" s="51"/>
      <c r="GU82" s="51"/>
      <c r="GV82" s="51"/>
      <c r="GW82" s="51"/>
      <c r="GX82" s="51"/>
      <c r="GY82" s="51"/>
      <c r="GZ82" s="51"/>
      <c r="HA82" s="51"/>
      <c r="HB82" s="51"/>
      <c r="HC82" s="51"/>
      <c r="HD82" s="51"/>
      <c r="HE82" s="51"/>
      <c r="HF82" s="51"/>
      <c r="HG82" s="51"/>
      <c r="HH82" s="51"/>
      <c r="HI82" s="51"/>
      <c r="HJ82" s="51"/>
      <c r="HK82" s="51"/>
      <c r="HL82" s="51"/>
      <c r="HM82" s="51"/>
      <c r="HN82" s="51"/>
      <c r="HO82" s="51"/>
      <c r="HP82" s="51"/>
      <c r="HQ82" s="51"/>
      <c r="HR82" s="51"/>
      <c r="HS82" s="51"/>
      <c r="HT82" s="51"/>
      <c r="HU82" s="51"/>
      <c r="HV82" s="51"/>
      <c r="HW82" s="51"/>
      <c r="HX82" s="51"/>
      <c r="HY82" s="51"/>
      <c r="HZ82" s="51"/>
      <c r="IA82" s="51"/>
      <c r="IB82" s="51"/>
      <c r="IC82" s="51"/>
      <c r="ID82" s="51"/>
      <c r="IE82" s="51"/>
      <c r="IF82" s="51"/>
      <c r="IG82" s="51"/>
      <c r="IH82" s="51"/>
      <c r="II82" s="51"/>
      <c r="IJ82" s="51"/>
      <c r="IK82" s="51"/>
      <c r="IL82" s="51"/>
      <c r="IM82" s="51"/>
      <c r="IN82" s="51"/>
      <c r="IO82" s="51"/>
      <c r="IP82" s="51"/>
      <c r="IQ82" s="51"/>
      <c r="IR82" s="51"/>
      <c r="IS82" s="51"/>
      <c r="IT82" s="51"/>
      <c r="IU82" s="51"/>
      <c r="IV82" s="51"/>
      <c r="IW82" s="51"/>
      <c r="IX82" s="51"/>
      <c r="IY82" s="51"/>
      <c r="IZ82" s="51"/>
      <c r="JA82" s="51"/>
      <c r="JB82" s="51"/>
      <c r="JC82" s="51"/>
      <c r="JD82" s="51"/>
      <c r="JE82" s="51"/>
      <c r="JF82" s="51"/>
      <c r="JG82" s="51"/>
      <c r="JH82" s="51"/>
      <c r="JI82" s="51"/>
      <c r="JJ82" s="51"/>
      <c r="JK82" s="51"/>
      <c r="JL82" s="51"/>
      <c r="JM82" s="51"/>
      <c r="JN82" s="51"/>
      <c r="JO82" s="51"/>
      <c r="JP82" s="51"/>
      <c r="JQ82" s="51"/>
      <c r="JR82" s="51"/>
      <c r="JS82" s="51"/>
      <c r="JT82" s="51"/>
      <c r="JU82" s="51"/>
      <c r="JV82" s="51"/>
      <c r="JW82" s="51"/>
      <c r="JX82" s="51"/>
      <c r="JY82" s="51"/>
      <c r="JZ82" s="51"/>
      <c r="KA82" s="51"/>
      <c r="KB82" s="51"/>
      <c r="KC82" s="51"/>
      <c r="KD82" s="51"/>
      <c r="KE82" s="51"/>
      <c r="KF82" s="51"/>
      <c r="KG82" s="51"/>
      <c r="KH82" s="51"/>
      <c r="KI82" s="51"/>
      <c r="KJ82" s="51"/>
      <c r="KK82" s="51"/>
      <c r="KL82" s="51"/>
      <c r="KM82" s="51"/>
      <c r="KN82" s="51"/>
      <c r="KO82" s="51"/>
      <c r="KP82" s="51"/>
      <c r="KQ82" s="51"/>
      <c r="KR82" s="51"/>
      <c r="KS82" s="51"/>
      <c r="KT82" s="51"/>
      <c r="KU82" s="51"/>
      <c r="KV82" s="51"/>
      <c r="KW82" s="51"/>
      <c r="KX82" s="51"/>
      <c r="KY82" s="51"/>
      <c r="KZ82" s="51"/>
      <c r="LA82" s="51"/>
      <c r="LB82" s="51"/>
      <c r="LC82" s="51"/>
    </row>
    <row r="83" spans="1:315" s="64" customFormat="1" x14ac:dyDescent="0.25">
      <c r="A83" s="78">
        <v>63</v>
      </c>
      <c r="B83" s="47" t="s">
        <v>119</v>
      </c>
      <c r="C83" s="25" t="s">
        <v>10</v>
      </c>
      <c r="D83" s="47" t="s">
        <v>120</v>
      </c>
      <c r="E83" s="60">
        <f>365/4</f>
        <v>91.25</v>
      </c>
      <c r="F83" s="80">
        <v>46164</v>
      </c>
      <c r="G83" s="47" t="s">
        <v>26</v>
      </c>
      <c r="H83" s="109">
        <f t="shared" si="3"/>
        <v>46255.25</v>
      </c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  <c r="DS83" s="51"/>
      <c r="DT83" s="51"/>
      <c r="DU83" s="51"/>
      <c r="DV83" s="51"/>
      <c r="DW83" s="51"/>
      <c r="DX83" s="51"/>
      <c r="DY83" s="51"/>
      <c r="DZ83" s="51"/>
      <c r="EA83" s="51"/>
      <c r="EB83" s="51"/>
      <c r="EC83" s="51"/>
      <c r="ED83" s="51"/>
      <c r="EE83" s="51"/>
      <c r="EF83" s="51"/>
      <c r="EG83" s="51"/>
      <c r="EH83" s="51"/>
      <c r="EI83" s="51"/>
      <c r="EJ83" s="51"/>
      <c r="EK83" s="51"/>
      <c r="EL83" s="51"/>
      <c r="EM83" s="51"/>
      <c r="EN83" s="51"/>
      <c r="EO83" s="51"/>
      <c r="EP83" s="51"/>
      <c r="EQ83" s="51"/>
      <c r="ER83" s="51"/>
      <c r="ES83" s="51"/>
      <c r="ET83" s="51"/>
      <c r="EU83" s="51"/>
      <c r="EV83" s="51"/>
      <c r="EW83" s="51"/>
      <c r="EX83" s="51"/>
      <c r="EY83" s="51"/>
      <c r="EZ83" s="51"/>
      <c r="FA83" s="51"/>
      <c r="FB83" s="51"/>
      <c r="FC83" s="51"/>
      <c r="FD83" s="51"/>
      <c r="FE83" s="51"/>
      <c r="FF83" s="51"/>
      <c r="FG83" s="51"/>
      <c r="FH83" s="51"/>
      <c r="FI83" s="51"/>
      <c r="FJ83" s="51"/>
      <c r="FK83" s="51"/>
      <c r="FL83" s="51"/>
      <c r="FM83" s="51"/>
      <c r="FN83" s="51"/>
      <c r="FO83" s="51"/>
      <c r="FP83" s="51"/>
      <c r="FQ83" s="51"/>
      <c r="FR83" s="51"/>
      <c r="FS83" s="51"/>
      <c r="FT83" s="51"/>
      <c r="FU83" s="51"/>
      <c r="FV83" s="51"/>
      <c r="FW83" s="51"/>
      <c r="FX83" s="51"/>
      <c r="FY83" s="51"/>
      <c r="FZ83" s="51"/>
      <c r="GA83" s="51"/>
      <c r="GB83" s="51"/>
      <c r="GC83" s="51"/>
      <c r="GD83" s="51"/>
      <c r="GE83" s="51"/>
      <c r="GF83" s="51"/>
      <c r="GG83" s="51"/>
      <c r="GH83" s="51"/>
      <c r="GI83" s="51"/>
      <c r="GJ83" s="51"/>
      <c r="GK83" s="51"/>
      <c r="GL83" s="51"/>
      <c r="GM83" s="51"/>
      <c r="GN83" s="51"/>
      <c r="GO83" s="51"/>
      <c r="GP83" s="51"/>
      <c r="GQ83" s="51"/>
      <c r="GR83" s="51"/>
      <c r="GS83" s="51"/>
      <c r="GT83" s="51"/>
      <c r="GU83" s="51"/>
      <c r="GV83" s="51"/>
      <c r="GW83" s="51"/>
      <c r="GX83" s="51"/>
      <c r="GY83" s="51"/>
      <c r="GZ83" s="51"/>
      <c r="HA83" s="51"/>
      <c r="HB83" s="51"/>
      <c r="HC83" s="51"/>
      <c r="HD83" s="51"/>
      <c r="HE83" s="51"/>
      <c r="HF83" s="51"/>
      <c r="HG83" s="51"/>
      <c r="HH83" s="51"/>
      <c r="HI83" s="51"/>
      <c r="HJ83" s="51"/>
      <c r="HK83" s="51"/>
      <c r="HL83" s="51"/>
      <c r="HM83" s="51"/>
      <c r="HN83" s="51"/>
      <c r="HO83" s="51"/>
      <c r="HP83" s="51"/>
      <c r="HQ83" s="51"/>
      <c r="HR83" s="51"/>
      <c r="HS83" s="51"/>
      <c r="HT83" s="51"/>
      <c r="HU83" s="51"/>
      <c r="HV83" s="51"/>
      <c r="HW83" s="51"/>
      <c r="HX83" s="51"/>
      <c r="HY83" s="51"/>
      <c r="HZ83" s="51"/>
      <c r="IA83" s="51"/>
      <c r="IB83" s="51"/>
      <c r="IC83" s="51"/>
      <c r="ID83" s="51"/>
      <c r="IE83" s="51"/>
      <c r="IF83" s="51"/>
      <c r="IG83" s="51"/>
      <c r="IH83" s="51"/>
      <c r="II83" s="51"/>
      <c r="IJ83" s="51"/>
      <c r="IK83" s="51"/>
      <c r="IL83" s="51"/>
      <c r="IM83" s="51"/>
      <c r="IN83" s="51"/>
      <c r="IO83" s="51"/>
      <c r="IP83" s="51"/>
      <c r="IQ83" s="51"/>
      <c r="IR83" s="51"/>
      <c r="IS83" s="51"/>
      <c r="IT83" s="51"/>
      <c r="IU83" s="51"/>
      <c r="IV83" s="51"/>
      <c r="IW83" s="51"/>
      <c r="IX83" s="51"/>
      <c r="IY83" s="51"/>
      <c r="IZ83" s="51"/>
      <c r="JA83" s="51"/>
      <c r="JB83" s="51"/>
      <c r="JC83" s="51"/>
      <c r="JD83" s="51"/>
      <c r="JE83" s="51"/>
      <c r="JF83" s="51"/>
      <c r="JG83" s="51"/>
      <c r="JH83" s="51"/>
      <c r="JI83" s="51"/>
      <c r="JJ83" s="51"/>
      <c r="JK83" s="51"/>
      <c r="JL83" s="51"/>
      <c r="JM83" s="51"/>
      <c r="JN83" s="51"/>
      <c r="JO83" s="51"/>
      <c r="JP83" s="51"/>
      <c r="JQ83" s="51"/>
      <c r="JR83" s="51"/>
      <c r="JS83" s="51"/>
      <c r="JT83" s="51"/>
      <c r="JU83" s="51"/>
      <c r="JV83" s="51"/>
      <c r="JW83" s="51"/>
      <c r="JX83" s="51"/>
      <c r="JY83" s="51"/>
      <c r="JZ83" s="51"/>
      <c r="KA83" s="51"/>
      <c r="KB83" s="51"/>
      <c r="KC83" s="51"/>
      <c r="KD83" s="51"/>
      <c r="KE83" s="51"/>
      <c r="KF83" s="51"/>
      <c r="KG83" s="51"/>
      <c r="KH83" s="51"/>
      <c r="KI83" s="51"/>
      <c r="KJ83" s="51"/>
      <c r="KK83" s="51"/>
      <c r="KL83" s="51"/>
      <c r="KM83" s="51"/>
      <c r="KN83" s="51"/>
      <c r="KO83" s="51"/>
      <c r="KP83" s="51"/>
      <c r="KQ83" s="51"/>
      <c r="KR83" s="51"/>
      <c r="KS83" s="51"/>
      <c r="KT83" s="51"/>
      <c r="KU83" s="51"/>
      <c r="KV83" s="51"/>
      <c r="KW83" s="51"/>
      <c r="KX83" s="51"/>
      <c r="KY83" s="51"/>
      <c r="KZ83" s="51"/>
      <c r="LA83" s="51"/>
      <c r="LB83" s="51"/>
      <c r="LC83" s="51"/>
    </row>
    <row r="84" spans="1:315" x14ac:dyDescent="0.25">
      <c r="A84" s="78">
        <v>64</v>
      </c>
      <c r="B84" s="47" t="s">
        <v>121</v>
      </c>
      <c r="C84" s="25" t="s">
        <v>10</v>
      </c>
      <c r="D84" s="47" t="s">
        <v>120</v>
      </c>
      <c r="E84" s="60">
        <v>365</v>
      </c>
      <c r="F84" s="80">
        <v>46164</v>
      </c>
      <c r="G84" s="47" t="s">
        <v>26</v>
      </c>
      <c r="H84" s="109">
        <f t="shared" si="3"/>
        <v>46529</v>
      </c>
    </row>
    <row r="85" spans="1:315" x14ac:dyDescent="0.25">
      <c r="A85" s="78">
        <v>65</v>
      </c>
      <c r="B85" s="47" t="s">
        <v>122</v>
      </c>
      <c r="C85" s="25" t="s">
        <v>10</v>
      </c>
      <c r="D85" s="47" t="s">
        <v>30</v>
      </c>
      <c r="E85" s="60">
        <f>365/2</f>
        <v>182.5</v>
      </c>
      <c r="F85" s="80">
        <v>46164</v>
      </c>
      <c r="G85" s="47"/>
      <c r="H85" s="109">
        <f t="shared" ref="H85:H94" si="5">IF(AND(F85&lt;&gt;"",E85&lt;&gt;""), F85 + E85, "")</f>
        <v>46346.5</v>
      </c>
    </row>
    <row r="86" spans="1:315" x14ac:dyDescent="0.25">
      <c r="A86" s="78">
        <v>66</v>
      </c>
      <c r="B86" s="47" t="s">
        <v>123</v>
      </c>
      <c r="C86" s="25" t="s">
        <v>10</v>
      </c>
      <c r="D86" s="47" t="s">
        <v>34</v>
      </c>
      <c r="E86" s="60">
        <v>365</v>
      </c>
      <c r="F86" s="74">
        <v>46185</v>
      </c>
      <c r="G86" s="47"/>
      <c r="H86" s="109">
        <f t="shared" si="5"/>
        <v>46550</v>
      </c>
    </row>
    <row r="87" spans="1:315" x14ac:dyDescent="0.25">
      <c r="A87" s="78">
        <v>67</v>
      </c>
      <c r="B87" s="47" t="s">
        <v>124</v>
      </c>
      <c r="C87" s="25" t="s">
        <v>10</v>
      </c>
      <c r="D87" s="47" t="s">
        <v>34</v>
      </c>
      <c r="E87" s="60">
        <v>365</v>
      </c>
      <c r="F87" s="74">
        <v>46185</v>
      </c>
      <c r="G87" s="47"/>
      <c r="H87" s="109">
        <f t="shared" si="5"/>
        <v>46550</v>
      </c>
    </row>
    <row r="88" spans="1:315" x14ac:dyDescent="0.25">
      <c r="A88" s="78">
        <v>68</v>
      </c>
      <c r="B88" s="47" t="s">
        <v>125</v>
      </c>
      <c r="C88" s="25" t="s">
        <v>10</v>
      </c>
      <c r="D88" s="47" t="s">
        <v>70</v>
      </c>
      <c r="E88" s="60">
        <v>365</v>
      </c>
      <c r="F88" s="80">
        <v>46171</v>
      </c>
      <c r="G88" s="47"/>
      <c r="H88" s="109">
        <f t="shared" si="5"/>
        <v>46536</v>
      </c>
    </row>
    <row r="89" spans="1:315" x14ac:dyDescent="0.25">
      <c r="A89" s="78">
        <v>69</v>
      </c>
      <c r="B89" s="47" t="s">
        <v>126</v>
      </c>
      <c r="C89" s="25" t="s">
        <v>10</v>
      </c>
      <c r="D89" s="47" t="s">
        <v>91</v>
      </c>
      <c r="E89" s="47">
        <v>365</v>
      </c>
      <c r="F89" s="46">
        <v>46156</v>
      </c>
      <c r="G89" s="47" t="s">
        <v>26</v>
      </c>
      <c r="H89" s="109">
        <f t="shared" si="5"/>
        <v>46521</v>
      </c>
    </row>
    <row r="90" spans="1:315" x14ac:dyDescent="0.25">
      <c r="A90" s="78">
        <v>70</v>
      </c>
      <c r="B90" s="47" t="s">
        <v>127</v>
      </c>
      <c r="C90" s="25" t="s">
        <v>10</v>
      </c>
      <c r="D90" s="47" t="s">
        <v>91</v>
      </c>
      <c r="E90" s="47">
        <v>365</v>
      </c>
      <c r="F90" s="46">
        <v>46156</v>
      </c>
      <c r="G90" s="47" t="s">
        <v>26</v>
      </c>
      <c r="H90" s="109">
        <f t="shared" si="5"/>
        <v>46521</v>
      </c>
    </row>
    <row r="91" spans="1:315" x14ac:dyDescent="0.25">
      <c r="A91" s="78">
        <v>71</v>
      </c>
      <c r="B91" s="20" t="s">
        <v>128</v>
      </c>
      <c r="C91" s="25" t="s">
        <v>10</v>
      </c>
      <c r="D91" s="47" t="s">
        <v>91</v>
      </c>
      <c r="E91" s="47">
        <v>365</v>
      </c>
      <c r="F91" s="46">
        <v>46156</v>
      </c>
      <c r="G91" s="47" t="s">
        <v>26</v>
      </c>
      <c r="H91" s="109">
        <f t="shared" si="5"/>
        <v>46521</v>
      </c>
    </row>
    <row r="92" spans="1:315" x14ac:dyDescent="0.25">
      <c r="A92" s="78">
        <v>72</v>
      </c>
      <c r="B92" s="45" t="s">
        <v>129</v>
      </c>
      <c r="C92" s="73" t="s">
        <v>10</v>
      </c>
      <c r="D92" s="45" t="s">
        <v>91</v>
      </c>
      <c r="E92" s="45">
        <v>365</v>
      </c>
      <c r="F92" s="79">
        <v>46156</v>
      </c>
      <c r="G92" s="45" t="s">
        <v>26</v>
      </c>
      <c r="H92" s="109">
        <f t="shared" si="5"/>
        <v>46521</v>
      </c>
    </row>
    <row r="93" spans="1:315" x14ac:dyDescent="0.25">
      <c r="A93" s="78">
        <v>73</v>
      </c>
      <c r="B93" s="20" t="s">
        <v>130</v>
      </c>
      <c r="C93" s="25" t="s">
        <v>10</v>
      </c>
      <c r="D93" s="47" t="s">
        <v>91</v>
      </c>
      <c r="E93" s="97">
        <v>365</v>
      </c>
      <c r="F93" s="74">
        <v>46171</v>
      </c>
      <c r="G93" s="47" t="s">
        <v>26</v>
      </c>
      <c r="H93" s="109">
        <f t="shared" si="5"/>
        <v>46536</v>
      </c>
    </row>
    <row r="94" spans="1:315" x14ac:dyDescent="0.25">
      <c r="A94" s="48">
        <v>74</v>
      </c>
      <c r="B94" s="47" t="s">
        <v>131</v>
      </c>
      <c r="C94" s="25" t="s">
        <v>10</v>
      </c>
      <c r="D94" s="47" t="s">
        <v>91</v>
      </c>
      <c r="E94" s="47">
        <v>365</v>
      </c>
      <c r="F94" s="74">
        <v>46164</v>
      </c>
      <c r="G94" s="47" t="s">
        <v>26</v>
      </c>
      <c r="H94" s="109">
        <f t="shared" si="5"/>
        <v>46529</v>
      </c>
    </row>
  </sheetData>
  <autoFilter ref="A7:H94" xr:uid="{3C2DD3F0-61EB-4766-A44E-A21AFDD747EA}"/>
  <mergeCells count="3">
    <mergeCell ref="B2:B4"/>
    <mergeCell ref="C2:D2"/>
    <mergeCell ref="C3:D3"/>
  </mergeCells>
  <phoneticPr fontId="15" type="noConversion"/>
  <hyperlinks>
    <hyperlink ref="C13" r:id="rId1" xr:uid="{3CADE2D5-494B-44A2-B595-B32A4584272F}"/>
    <hyperlink ref="C12" r:id="rId2" xr:uid="{940B7E74-4385-4232-87A1-5E33374921D0}"/>
    <hyperlink ref="C14:C17" r:id="rId3" display="Click Here" xr:uid="{A7E03205-3D1D-4179-AB46-3C0FFD306180}"/>
    <hyperlink ref="C14" r:id="rId4" xr:uid="{48BAB755-95BE-41CD-B856-87DA966FCF0F}"/>
    <hyperlink ref="C15" r:id="rId5" xr:uid="{54B18495-C781-478B-B93B-C040367EC4C7}"/>
    <hyperlink ref="C16" r:id="rId6" xr:uid="{520CEC65-D97D-4751-A5E3-C07C92067BFF}"/>
    <hyperlink ref="C17" r:id="rId7" xr:uid="{039A1AAA-B0D0-471D-A146-DEEA14F1AC68}"/>
    <hyperlink ref="C18" r:id="rId8" xr:uid="{C703B9FA-D22A-4AD4-81EB-8B71043E02F7}"/>
    <hyperlink ref="C19" r:id="rId9" xr:uid="{ADF50762-2432-4E5A-8E5E-95CDE6DB27BA}"/>
    <hyperlink ref="C21" r:id="rId10" xr:uid="{02D181BE-176F-4C9B-A11C-1D28B4FA9388}"/>
    <hyperlink ref="C24" r:id="rId11" xr:uid="{BF7B6BDC-94D0-452D-ADAE-3180D8EDB954}"/>
    <hyperlink ref="C23" r:id="rId12" xr:uid="{A641E412-D619-43C3-87B1-D2D3F31554CD}"/>
    <hyperlink ref="C22" r:id="rId13" xr:uid="{D46440E8-5232-4D51-92E4-80BF05E2C96D}"/>
    <hyperlink ref="C25" r:id="rId14" xr:uid="{9175C9E4-6766-442B-B42A-EE4882547D08}"/>
    <hyperlink ref="C28" r:id="rId15" xr:uid="{26273226-212A-445D-AF08-454FC8664B81}"/>
    <hyperlink ref="C30" r:id="rId16" xr:uid="{88692A2D-64D3-423A-BC47-AC913B3F0840}"/>
    <hyperlink ref="C31" r:id="rId17" xr:uid="{3C73E84C-FEB4-482A-83EC-86570FDD3283}"/>
    <hyperlink ref="C32" r:id="rId18" xr:uid="{64B1487D-E363-441B-93B7-ACDFA7048B86}"/>
    <hyperlink ref="C35" r:id="rId19" xr:uid="{8FC86FBA-1D60-48A2-9593-CA8DF6CE375C}"/>
    <hyperlink ref="C36" r:id="rId20" xr:uid="{4508B64A-DC35-4315-9CCF-414F24BD9670}"/>
    <hyperlink ref="C39" r:id="rId21" xr:uid="{DEFA1264-8D56-4071-8484-DD1C82BD2D5A}"/>
    <hyperlink ref="C37" r:id="rId22" xr:uid="{38F422FB-AD46-4C3E-813C-44FC894422D2}"/>
    <hyperlink ref="C38" r:id="rId23" xr:uid="{98FDB557-A8E6-411E-A2A3-5FE1EA5F2A66}"/>
    <hyperlink ref="C42" r:id="rId24" xr:uid="{7C6F7F52-9DD9-4628-8612-4300548797D5}"/>
    <hyperlink ref="C41" r:id="rId25" xr:uid="{8020BB0E-16D2-47F5-BEF4-3E9BFB1324CE}"/>
    <hyperlink ref="C45" r:id="rId26" xr:uid="{9E3D80A2-3CCB-4E7D-8C77-16CFB609EB65}"/>
    <hyperlink ref="C47" r:id="rId27" xr:uid="{D6450EC0-E3EA-4AD1-AA7B-C7D359BBA291}"/>
    <hyperlink ref="C49" r:id="rId28" xr:uid="{F5552EA8-4668-4348-8C05-4E8BEAF4FE13}"/>
    <hyperlink ref="C50" r:id="rId29" xr:uid="{5C5437CD-07EC-4B95-96DB-72E40D314735}"/>
    <hyperlink ref="C52" r:id="rId30" xr:uid="{3AABC3AE-09DE-47AD-A065-D365C5FF6A29}"/>
    <hyperlink ref="C53" r:id="rId31" xr:uid="{EC19BBFD-90EB-4BCC-B706-038F97B6C476}"/>
    <hyperlink ref="C54" r:id="rId32" xr:uid="{137484CD-7C37-4A80-B07C-27F683AC5F48}"/>
    <hyperlink ref="C56" r:id="rId33" xr:uid="{3C991983-3DA7-42E1-BAB3-FE42D73BA849}"/>
    <hyperlink ref="C60" r:id="rId34" xr:uid="{41023885-0660-42C7-810B-CEF751CEB6C9}"/>
    <hyperlink ref="C65" r:id="rId35" xr:uid="{85B6E304-08F1-4410-BCDB-5EF1AB35E083}"/>
    <hyperlink ref="C43" r:id="rId36" xr:uid="{35EEF916-A2FC-4A1E-A016-D64C0774504D}"/>
    <hyperlink ref="C67" r:id="rId37" xr:uid="{A51A9A96-B2D3-4BAB-9C28-CDC8E68A739A}"/>
    <hyperlink ref="C66" r:id="rId38" xr:uid="{FADD988D-AF37-44D5-A62F-B4D81852C1ED}"/>
    <hyperlink ref="C69" r:id="rId39" xr:uid="{C0985A72-D00D-403B-9B94-EA678451E051}"/>
    <hyperlink ref="C72" r:id="rId40" xr:uid="{FCFBAF7B-14E2-48D6-A621-EAF6C1806ACF}"/>
    <hyperlink ref="C71" r:id="rId41" xr:uid="{9F402591-8B73-4618-B6EA-36B9EBAC3533}"/>
    <hyperlink ref="C63" r:id="rId42" xr:uid="{89938381-8136-4DE4-B9CA-53AD4628E576}"/>
    <hyperlink ref="C74" r:id="rId43" xr:uid="{88692E88-7B71-4C8E-AC46-0E03EE35D3C2}"/>
    <hyperlink ref="C76" r:id="rId44" xr:uid="{EFEE9E4C-60C4-467C-87E8-AB995A850967}"/>
    <hyperlink ref="C78" r:id="rId45" xr:uid="{17870BDF-7301-4683-9318-1A140E51F7E1}"/>
    <hyperlink ref="C44" r:id="rId46" xr:uid="{F39C3AA2-8F10-4304-AFDB-3FB53CB992C5}"/>
    <hyperlink ref="C79" r:id="rId47" xr:uid="{7CF81DF0-2425-488F-8DE2-0E191C3DE2BE}"/>
    <hyperlink ref="C33" r:id="rId48" xr:uid="{B3BEC1F1-A3F6-4194-BA4C-EF593BD093CF}"/>
    <hyperlink ref="C70" r:id="rId49" xr:uid="{6A9F5505-6DA4-4F25-9019-E8B5C42555F4}"/>
    <hyperlink ref="C77" r:id="rId50" xr:uid="{925AB720-DFFE-4183-A00E-3AA806E395F3}"/>
    <hyperlink ref="C64" r:id="rId51" xr:uid="{CA6F487C-EC5A-4E4F-85C4-76FE64BC59E6}"/>
    <hyperlink ref="C62" r:id="rId52" xr:uid="{03FA7FAD-1E70-43B7-98C7-9BC38FAD9A85}"/>
    <hyperlink ref="C61" r:id="rId53" xr:uid="{0CEAB3A6-5521-459E-9268-0C30886920E5}"/>
    <hyperlink ref="C55" r:id="rId54" xr:uid="{654D651D-2085-4A9F-9279-61253BA5E5EB}"/>
    <hyperlink ref="C59" r:id="rId55" xr:uid="{A53FA41A-DD8C-444A-ACB4-F7B4F09B3D24}"/>
    <hyperlink ref="C57" r:id="rId56" xr:uid="{1FF4165D-EDD9-40D3-A0B6-E0808AD641CC}"/>
    <hyperlink ref="C75" r:id="rId57" xr:uid="{4D5D0764-554F-4521-BBC6-A1995592634A}"/>
    <hyperlink ref="C80" r:id="rId58" xr:uid="{A936357D-8B1B-427A-AF53-B641C399651D}"/>
    <hyperlink ref="C29" r:id="rId59" xr:uid="{D16B8704-9309-4F86-968D-3B25919980A0}"/>
    <hyperlink ref="C51" r:id="rId60" xr:uid="{6FD6F67A-BB02-47BE-B5A8-72285A65D659}"/>
    <hyperlink ref="C48" r:id="rId61" xr:uid="{D2B3C285-9AE5-4364-AE90-26A0C442C6E2}"/>
    <hyperlink ref="C34" r:id="rId62" xr:uid="{075C624E-2D10-4A0B-9521-10FD0D0BBB1B}"/>
    <hyperlink ref="C46" r:id="rId63" xr:uid="{98B0449B-F1DA-4E24-811E-72F239D0541B}"/>
    <hyperlink ref="C58" r:id="rId64" xr:uid="{18FA1E48-6EBB-48D8-94D8-D28DB365555D}"/>
    <hyperlink ref="C68" r:id="rId65" xr:uid="{F28DA75A-FAF7-45CA-BDFD-1614927CD06A}"/>
    <hyperlink ref="C26" r:id="rId66" xr:uid="{21AE2AD9-FC38-41E0-A062-F95A90DDF1F2}"/>
    <hyperlink ref="C81" r:id="rId67" xr:uid="{720A9AEF-124E-4BDB-8A80-D4DDC18CC54E}"/>
    <hyperlink ref="C82" r:id="rId68" xr:uid="{2B4D785D-86AF-48E8-9C9B-5382A676B442}"/>
    <hyperlink ref="C40" r:id="rId69" xr:uid="{0F274D4F-7C90-43A3-BE60-D1ACF1B49024}"/>
    <hyperlink ref="C27" r:id="rId70" xr:uid="{37EE8045-8D02-4F31-BCA0-FA1F2BDA669E}"/>
    <hyperlink ref="C84" r:id="rId71" xr:uid="{5275A890-D875-400A-9E66-35BC0299960E}"/>
    <hyperlink ref="C83" r:id="rId72" xr:uid="{E71A6F59-C9A3-467F-BA70-3A39BD1C433C}"/>
    <hyperlink ref="C85" r:id="rId73" xr:uid="{5515AB47-6C7F-4945-9D75-4AD0234275B2}"/>
    <hyperlink ref="C86" r:id="rId74" xr:uid="{3C94D7AE-6A85-4169-80AC-133202168E7F}"/>
    <hyperlink ref="C87" r:id="rId75" xr:uid="{7581F2C3-EBCC-478B-B4AA-98F3E53B929B}"/>
    <hyperlink ref="C88" r:id="rId76" xr:uid="{97685D83-810E-4876-ACC0-4C8A56D25337}"/>
    <hyperlink ref="C89" r:id="rId77" xr:uid="{CCE01EF7-9293-4F05-B4D6-972294248880}"/>
    <hyperlink ref="C90" r:id="rId78" xr:uid="{03616336-AC5C-4EA3-A430-3790E5143C14}"/>
    <hyperlink ref="C91" r:id="rId79" xr:uid="{F7C4B158-53A4-4434-8094-BC00ED5A5AA7}"/>
    <hyperlink ref="C92" r:id="rId80" xr:uid="{B2270696-D1DB-4226-9887-065A86C9AF24}"/>
    <hyperlink ref="C93" r:id="rId81" xr:uid="{98498220-00DD-4AD3-9F1A-17F31EC432F1}"/>
    <hyperlink ref="C94" r:id="rId82" xr:uid="{9324801E-54AA-4D88-823C-0891E945C379}"/>
    <hyperlink ref="B7" r:id="rId83" display="../../../../../../../../../../../../../:w:/r/sites/Global Server And Platform Operations/siops/Shared Documents/1 - ORG/GSPO Management Topics/Team transformation2024_25/TeamTransformation/SolutionDesign/ImplementingTechnicaldocuments/Document Format.docx?d=w8ec13ea3c0c7480986681f535d759634&amp;csf=1&amp;web=1&amp;e=xRbDUb" xr:uid="{6CC7F434-2ACE-433C-B3CD-0BF04A27EA3A}"/>
  </hyperlinks>
  <pageMargins left="0.7" right="0.7" top="0.75" bottom="0.75" header="0.3" footer="0.3"/>
  <pageSetup orientation="portrait" r:id="rId84"/>
  <drawing r:id="rId8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AA63552E6DD44A4776F0079EC1931" ma:contentTypeVersion="18" ma:contentTypeDescription="Create a new document." ma:contentTypeScope="" ma:versionID="f2ca585ec9caaf73760494464ff1028e">
  <xsd:schema xmlns:xsd="http://www.w3.org/2001/XMLSchema" xmlns:xs="http://www.w3.org/2001/XMLSchema" xmlns:p="http://schemas.microsoft.com/office/2006/metadata/properties" xmlns:ns2="5a40e1f1-7edf-47f8-ade6-3fa40173a7ee" xmlns:ns3="90beab9b-5c97-49ef-80e1-8bede52b6c41" xmlns:ns4="921b7353-8eee-4d57-95e7-6707d4aafa1b" targetNamespace="http://schemas.microsoft.com/office/2006/metadata/properties" ma:root="true" ma:fieldsID="c075f32c7e2696fe9b35e4dde31663a7" ns2:_="" ns3:_="" ns4:_="">
    <xsd:import namespace="5a40e1f1-7edf-47f8-ade6-3fa40173a7ee"/>
    <xsd:import namespace="90beab9b-5c97-49ef-80e1-8bede52b6c41"/>
    <xsd:import namespace="921b7353-8eee-4d57-95e7-6707d4aafa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0e1f1-7edf-47f8-ade6-3fa40173a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e315aa8-bd96-4598-8e4a-1d3aeb7b64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eab9b-5c97-49ef-80e1-8bede52b6c4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1b7353-8eee-4d57-95e7-6707d4aafa1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d1aa2fc-5e0c-4ff8-8250-f19fc1ec4f0e}" ma:internalName="TaxCatchAll" ma:showField="CatchAllData" ma:web="2355ad9a-8dbb-45d3-9cb2-7e6996e25a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0e1f1-7edf-47f8-ade6-3fa40173a7ee">
      <Terms xmlns="http://schemas.microsoft.com/office/infopath/2007/PartnerControls"/>
    </lcf76f155ced4ddcb4097134ff3c332f>
    <TaxCatchAll xmlns="921b7353-8eee-4d57-95e7-6707d4aafa1b" xsi:nil="true"/>
  </documentManagement>
</p:properties>
</file>

<file path=customXml/itemProps1.xml><?xml version="1.0" encoding="utf-8"?>
<ds:datastoreItem xmlns:ds="http://schemas.openxmlformats.org/officeDocument/2006/customXml" ds:itemID="{7DB55118-D0FF-4B28-B7DA-F08A7996A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40e1f1-7edf-47f8-ade6-3fa40173a7ee"/>
    <ds:schemaRef ds:uri="90beab9b-5c97-49ef-80e1-8bede52b6c41"/>
    <ds:schemaRef ds:uri="921b7353-8eee-4d57-95e7-6707d4aafa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8AA5D9-74E2-4846-A9CD-7382D6B424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8E337E-A8F4-400E-A781-7137B24692A3}">
  <ds:schemaRefs>
    <ds:schemaRef ds:uri="http://schemas.microsoft.com/office/2006/metadata/properties"/>
    <ds:schemaRef ds:uri="http://schemas.microsoft.com/office/infopath/2007/PartnerControls"/>
    <ds:schemaRef ds:uri="5a40e1f1-7edf-47f8-ade6-3fa40173a7ee"/>
    <ds:schemaRef ds:uri="921b7353-8eee-4d57-95e7-6707d4aafa1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Master Document</vt:lpstr>
      <vt:lpstr>Sheet2</vt:lpstr>
      <vt:lpstr>test28M</vt:lpstr>
      <vt:lpstr>Formatting Style</vt:lpstr>
      <vt:lpstr>Status_report</vt:lpstr>
      <vt:lpstr>Master Document sandeep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Santosh Kumar</dc:creator>
  <cp:keywords/>
  <dc:description/>
  <cp:lastModifiedBy>Sheetam Coondoo (External)</cp:lastModifiedBy>
  <cp:revision/>
  <dcterms:created xsi:type="dcterms:W3CDTF">2024-11-15T03:41:09Z</dcterms:created>
  <dcterms:modified xsi:type="dcterms:W3CDTF">2026-08-07T09:18:27Z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0x010100425AA63552E6DD44A4776F0079EC1931</vt:lpwstr>
  </property>
</Properties>
</file>