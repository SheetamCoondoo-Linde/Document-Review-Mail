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8ti61\Documents\Document Review Escalation mail\"/>
    </mc:Choice>
  </mc:AlternateContent>
  <xr:revisionPtr revIDLastSave="0" documentId="13_ncr:1_{AE8AD1D9-AD6E-4044-89D3-433622A2435A}" xr6:coauthVersionLast="47" xr6:coauthVersionMax="47" xr10:uidLastSave="{00000000-0000-0000-0000-000000000000}"/>
  <bookViews>
    <workbookView xWindow="28680" yWindow="-120" windowWidth="25440" windowHeight="15270" xr2:uid="{174F11EF-D037-4CA2-9D13-66BBA84F28A2}"/>
  </bookViews>
  <sheets>
    <sheet name="Master Document" sheetId="9" r:id="rId1"/>
    <sheet name="Rules" sheetId="6" r:id="rId2"/>
    <sheet name="Sheet2" sheetId="8" r:id="rId3"/>
    <sheet name="Formatting Style" sheetId="3" r:id="rId4"/>
    <sheet name="Status_report" sheetId="2" r:id="rId5"/>
    <sheet name="Master Document sandeep test" sheetId="1" r:id="rId6"/>
  </sheets>
  <definedNames>
    <definedName name="_xlnm._FilterDatabase" localSheetId="0" hidden="1">'Master Document'!$A$7:$I$93</definedName>
    <definedName name="_xlnm._FilterDatabase" localSheetId="5" hidden="1">'Master Document sandeep test'!$A$8:$I$8</definedName>
    <definedName name="_xlcn.WorksheetConnection_MasterDocumentB12E91" hidden="1">'Master Document sandeep test'!$B$8:$D$86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Master Document!$B$12:$E$9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8" i="9" l="1"/>
  <c r="I93" i="9"/>
  <c r="I84" i="9"/>
  <c r="I87" i="9"/>
  <c r="I86" i="9"/>
  <c r="H32" i="1"/>
  <c r="H33" i="1"/>
  <c r="H34" i="1"/>
  <c r="H35" i="1"/>
  <c r="H36" i="1"/>
  <c r="H37" i="1"/>
  <c r="H38" i="1"/>
  <c r="H41" i="1"/>
  <c r="H44" i="1"/>
  <c r="H45" i="1"/>
  <c r="H46" i="1"/>
  <c r="H47" i="1"/>
  <c r="H51" i="1"/>
  <c r="H52" i="1"/>
  <c r="H53" i="1"/>
  <c r="H54" i="1"/>
  <c r="H56" i="1"/>
  <c r="H57" i="1"/>
  <c r="H58" i="1"/>
  <c r="H59" i="1"/>
  <c r="H60" i="1"/>
  <c r="H61" i="1"/>
  <c r="H62" i="1"/>
  <c r="H63" i="1"/>
  <c r="H64" i="1"/>
  <c r="H65" i="1"/>
  <c r="H66" i="1"/>
  <c r="H70" i="1"/>
  <c r="H72" i="1"/>
  <c r="H73" i="1"/>
  <c r="H74" i="1"/>
  <c r="H75" i="1"/>
  <c r="H76" i="1"/>
  <c r="H77" i="1"/>
  <c r="H78" i="1"/>
  <c r="H79" i="1"/>
  <c r="H80" i="1"/>
  <c r="H83" i="1"/>
  <c r="H85" i="1"/>
  <c r="H87" i="1"/>
  <c r="H88" i="1"/>
  <c r="H89" i="1"/>
  <c r="H90" i="1"/>
  <c r="H91" i="1"/>
  <c r="H92" i="1"/>
  <c r="H93" i="1"/>
  <c r="H28" i="1"/>
  <c r="H22" i="1"/>
  <c r="H23" i="1"/>
  <c r="H24" i="1"/>
  <c r="H26" i="1"/>
  <c r="H11" i="1"/>
  <c r="H12" i="1"/>
  <c r="H13" i="1"/>
  <c r="H14" i="1"/>
  <c r="H15" i="1"/>
  <c r="H16" i="1"/>
  <c r="H19" i="1"/>
  <c r="H10" i="1"/>
  <c r="I87" i="1"/>
  <c r="I88" i="1"/>
  <c r="I89" i="1"/>
  <c r="I90" i="1"/>
  <c r="I91" i="1"/>
  <c r="I92" i="1"/>
  <c r="I93" i="1"/>
  <c r="E29" i="1"/>
  <c r="H29" i="1" s="1"/>
  <c r="E30" i="1"/>
  <c r="H30" i="1" s="1"/>
  <c r="E31" i="1"/>
  <c r="H31" i="1" s="1"/>
  <c r="E32" i="1"/>
  <c r="E33" i="1"/>
  <c r="E34" i="1"/>
  <c r="E35" i="1"/>
  <c r="E36" i="1"/>
  <c r="E37" i="1"/>
  <c r="E38" i="1"/>
  <c r="E39" i="1"/>
  <c r="H39" i="1" s="1"/>
  <c r="E40" i="1"/>
  <c r="H40" i="1" s="1"/>
  <c r="E42" i="1"/>
  <c r="H42" i="1" s="1"/>
  <c r="E43" i="1"/>
  <c r="H43" i="1" s="1"/>
  <c r="E48" i="1"/>
  <c r="H48" i="1" s="1"/>
  <c r="E49" i="1"/>
  <c r="H49" i="1" s="1"/>
  <c r="E50" i="1"/>
  <c r="H50" i="1" s="1"/>
  <c r="E51" i="1"/>
  <c r="E52" i="1"/>
  <c r="E55" i="1"/>
  <c r="H55" i="1" s="1"/>
  <c r="E57" i="1"/>
  <c r="E59" i="1"/>
  <c r="E60" i="1"/>
  <c r="E63" i="1"/>
  <c r="E64" i="1"/>
  <c r="E65" i="1"/>
  <c r="E66" i="1"/>
  <c r="E67" i="1"/>
  <c r="H67" i="1" s="1"/>
  <c r="E68" i="1"/>
  <c r="H68" i="1" s="1"/>
  <c r="E69" i="1"/>
  <c r="H69" i="1" s="1"/>
  <c r="E71" i="1"/>
  <c r="H71" i="1" s="1"/>
  <c r="E72" i="1"/>
  <c r="E73" i="1"/>
  <c r="E75" i="1"/>
  <c r="E78" i="1"/>
  <c r="E79" i="1"/>
  <c r="E80" i="1"/>
  <c r="E81" i="1"/>
  <c r="H81" i="1" s="1"/>
  <c r="E82" i="1"/>
  <c r="H82" i="1" s="1"/>
  <c r="E84" i="1"/>
  <c r="H84" i="1" s="1"/>
  <c r="E86" i="1"/>
  <c r="H86" i="1" s="1"/>
  <c r="E25" i="1"/>
  <c r="H25" i="1" s="1"/>
  <c r="E27" i="1"/>
  <c r="H27" i="1" s="1"/>
  <c r="E20" i="1"/>
  <c r="H20" i="1" s="1"/>
  <c r="E21" i="1"/>
  <c r="H21" i="1" s="1"/>
  <c r="E22" i="1"/>
  <c r="E17" i="1"/>
  <c r="H17" i="1" s="1"/>
  <c r="E18" i="1"/>
  <c r="H18" i="1" s="1"/>
  <c r="E11" i="1"/>
  <c r="I29" i="9"/>
  <c r="I27" i="9"/>
  <c r="I92" i="9"/>
  <c r="I91" i="9"/>
  <c r="I90" i="9"/>
  <c r="I89" i="9"/>
  <c r="E85" i="9"/>
  <c r="I85" i="9" s="1"/>
  <c r="I76" i="9"/>
  <c r="I47" i="9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E83" i="9"/>
  <c r="I83" i="9" s="1"/>
  <c r="I82" i="9"/>
  <c r="E81" i="9"/>
  <c r="E80" i="9"/>
  <c r="I80" i="9" s="1"/>
  <c r="E79" i="9"/>
  <c r="I79" i="9" s="1"/>
  <c r="E78" i="9"/>
  <c r="E77" i="9"/>
  <c r="I77" i="9" s="1"/>
  <c r="I75" i="9"/>
  <c r="E74" i="9"/>
  <c r="I74" i="9" s="1"/>
  <c r="E72" i="9"/>
  <c r="I72" i="9" s="1"/>
  <c r="E71" i="9"/>
  <c r="I71" i="9" s="1"/>
  <c r="I70" i="9"/>
  <c r="E69" i="9"/>
  <c r="I69" i="9" s="1"/>
  <c r="E68" i="9"/>
  <c r="I68" i="9" s="1"/>
  <c r="E67" i="9"/>
  <c r="I67" i="9" s="1"/>
  <c r="E66" i="9"/>
  <c r="I66" i="9" s="1"/>
  <c r="E65" i="9"/>
  <c r="I65" i="9" s="1"/>
  <c r="E64" i="9"/>
  <c r="I64" i="9" s="1"/>
  <c r="E63" i="9"/>
  <c r="I63" i="9" s="1"/>
  <c r="I62" i="9"/>
  <c r="I61" i="9"/>
  <c r="E60" i="9"/>
  <c r="I60" i="9" s="1"/>
  <c r="I59" i="9"/>
  <c r="E58" i="9"/>
  <c r="I58" i="9" s="1"/>
  <c r="I57" i="9"/>
  <c r="E56" i="9"/>
  <c r="I56" i="9" s="1"/>
  <c r="I55" i="9"/>
  <c r="I54" i="9"/>
  <c r="E53" i="9"/>
  <c r="I53" i="9" s="1"/>
  <c r="E52" i="9"/>
  <c r="E51" i="9"/>
  <c r="I51" i="9" s="1"/>
  <c r="E50" i="9"/>
  <c r="I50" i="9" s="1"/>
  <c r="E49" i="9"/>
  <c r="I49" i="9" s="1"/>
  <c r="I48" i="9"/>
  <c r="I46" i="9"/>
  <c r="I45" i="9"/>
  <c r="E44" i="9"/>
  <c r="I44" i="9" s="1"/>
  <c r="E43" i="9"/>
  <c r="I43" i="9" s="1"/>
  <c r="I42" i="9"/>
  <c r="E41" i="9"/>
  <c r="I41" i="9" s="1"/>
  <c r="E40" i="9"/>
  <c r="I40" i="9" s="1"/>
  <c r="E39" i="9"/>
  <c r="I39" i="9" s="1"/>
  <c r="E38" i="9"/>
  <c r="I38" i="9" s="1"/>
  <c r="E37" i="9"/>
  <c r="I37" i="9" s="1"/>
  <c r="E36" i="9"/>
  <c r="I36" i="9" s="1"/>
  <c r="E35" i="9"/>
  <c r="I35" i="9" s="1"/>
  <c r="E34" i="9"/>
  <c r="I34" i="9" s="1"/>
  <c r="E33" i="9"/>
  <c r="I33" i="9" s="1"/>
  <c r="E32" i="9"/>
  <c r="I32" i="9" s="1"/>
  <c r="E31" i="9"/>
  <c r="I31" i="9" s="1"/>
  <c r="E30" i="9"/>
  <c r="I30" i="9" s="1"/>
  <c r="E28" i="9"/>
  <c r="I28" i="9" s="1"/>
  <c r="E26" i="9"/>
  <c r="I26" i="9" s="1"/>
  <c r="I25" i="9"/>
  <c r="I24" i="9"/>
  <c r="E23" i="9"/>
  <c r="I23" i="9" s="1"/>
  <c r="E22" i="9"/>
  <c r="I22" i="9" s="1"/>
  <c r="E21" i="9"/>
  <c r="I21" i="9" s="1"/>
  <c r="E19" i="9"/>
  <c r="I19" i="9" s="1"/>
  <c r="E18" i="9"/>
  <c r="I18" i="9" s="1"/>
  <c r="I17" i="9"/>
  <c r="I16" i="9"/>
  <c r="I15" i="9"/>
  <c r="I14" i="9"/>
  <c r="I13" i="9"/>
  <c r="E12" i="9"/>
  <c r="I12" i="9" s="1"/>
  <c r="I1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2E2BB-67EC-4C76-B2AA-AA79470D0F5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6B1232-D619-4A33-BBDD-625B5E170DE1}" name="WorksheetConnection_Master Document!$B$12:$E$9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asterDocumentB12E9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Document 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<sst xmlns="http://schemas.openxmlformats.org/spreadsheetml/2006/main" count="715" uniqueCount="167">
  <si>
    <t>Fomat Document Link</t>
  </si>
  <si>
    <t>Linde</t>
  </si>
  <si>
    <t>SL No:</t>
  </si>
  <si>
    <t>Document Name</t>
  </si>
  <si>
    <t xml:space="preserve">Location of the Document with Link </t>
  </si>
  <si>
    <t>Responsible</t>
  </si>
  <si>
    <t>Review Cycle (days)</t>
  </si>
  <si>
    <t>Review Date</t>
  </si>
  <si>
    <t>Next Planned Review Date</t>
  </si>
  <si>
    <t>PROCESS DOCUMENT LIST</t>
  </si>
  <si>
    <t>Basis SOP</t>
  </si>
  <si>
    <t>Click Here</t>
  </si>
  <si>
    <t>Santosh</t>
  </si>
  <si>
    <t>Processes change periodically</t>
  </si>
  <si>
    <t>SAP SID List</t>
  </si>
  <si>
    <t>Praveen</t>
  </si>
  <si>
    <t>Infrastructure changes possible</t>
  </si>
  <si>
    <t>Communication_BestPractice_V1.0</t>
  </si>
  <si>
    <t>Sudipta</t>
  </si>
  <si>
    <t>SOP_EscalationProcess_V1.0</t>
  </si>
  <si>
    <t>Rajiv</t>
  </si>
  <si>
    <t>KPI_Guidelines_V1.0</t>
  </si>
  <si>
    <t>Alok</t>
  </si>
  <si>
    <t>Sandeep</t>
  </si>
  <si>
    <t>LO_TO_Responsibility_v1.0</t>
  </si>
  <si>
    <t>Vladimir</t>
  </si>
  <si>
    <t>Document_Catalogue_V1.0</t>
  </si>
  <si>
    <t>Basis Operations DO's and DON’T's</t>
  </si>
  <si>
    <t>Basis Security Guidelines</t>
  </si>
  <si>
    <t>Sumit</t>
  </si>
  <si>
    <t>TECHNICAL DOCUMENT LIST</t>
  </si>
  <si>
    <t>System Refresh</t>
  </si>
  <si>
    <t>Deepjyoti</t>
  </si>
  <si>
    <t>System Built HANA</t>
  </si>
  <si>
    <t>System Built Oracle</t>
  </si>
  <si>
    <t>System De-commissioning</t>
  </si>
  <si>
    <t>Basis System Security Guidelines</t>
  </si>
  <si>
    <t>LCM Technical SOP</t>
  </si>
  <si>
    <t>Sourav</t>
  </si>
  <si>
    <t>LCM Process SOP</t>
  </si>
  <si>
    <t>Stefan Lancaric</t>
  </si>
  <si>
    <t>DB13 configuration</t>
  </si>
  <si>
    <t>ST06 configuration</t>
  </si>
  <si>
    <t>Pavol</t>
  </si>
  <si>
    <t>HANA conversion using DMO</t>
  </si>
  <si>
    <t>ASE Database space check</t>
  </si>
  <si>
    <t>SNC/SSO Configuration</t>
  </si>
  <si>
    <t>Self system restoration (oracle)</t>
  </si>
  <si>
    <t>HANA system restoration using backint</t>
  </si>
  <si>
    <t>Andrej</t>
  </si>
  <si>
    <t>System Monitoring ECC/Oracle</t>
  </si>
  <si>
    <t>Subhashish</t>
  </si>
  <si>
    <t>System Monitoring ECC/HANA</t>
  </si>
  <si>
    <t>System Monitoring ECC/SYBASE</t>
  </si>
  <si>
    <t>ADS Configuration</t>
  </si>
  <si>
    <t>Sybase ASE - Auto DB Expansion Config</t>
  </si>
  <si>
    <t>HANA Post Installation Check</t>
  </si>
  <si>
    <t>Linde Internal Certificate Renewal Process</t>
  </si>
  <si>
    <t>Sreejita</t>
  </si>
  <si>
    <t>Samyukta</t>
  </si>
  <si>
    <t>SAP Cloud Connector Document</t>
  </si>
  <si>
    <t>Utsha</t>
  </si>
  <si>
    <t xml:space="preserve">SAP-Router installation steps </t>
  </si>
  <si>
    <t>Imran</t>
  </si>
  <si>
    <t>SAP BW/4HANA 2023 SPS upgrade</t>
  </si>
  <si>
    <t>HANA SPS upgrade</t>
  </si>
  <si>
    <t>Oracle 19c upgrade</t>
  </si>
  <si>
    <t>SLT Installation</t>
  </si>
  <si>
    <t>Procedure for Client copy</t>
  </si>
  <si>
    <t>Ivan</t>
  </si>
  <si>
    <t>Tablespace analysis</t>
  </si>
  <si>
    <t>Redo Log configuration</t>
  </si>
  <si>
    <t>Mass job change</t>
  </si>
  <si>
    <t>GTS S4 Conversion</t>
  </si>
  <si>
    <t>Solman upgrade</t>
  </si>
  <si>
    <t>Ariba Configuration</t>
  </si>
  <si>
    <t>SCOT Configuration</t>
  </si>
  <si>
    <t>Pravin</t>
  </si>
  <si>
    <t>HANA Parameter check</t>
  </si>
  <si>
    <t>Workflow Configuration</t>
  </si>
  <si>
    <t>Configure Standard jobs using SJOBREPO</t>
  </si>
  <si>
    <t>Cloud Connector Configuration</t>
  </si>
  <si>
    <t xml:space="preserve">Santosh </t>
  </si>
  <si>
    <t>Netapp Migration</t>
  </si>
  <si>
    <t>Vfaas to Pfaas Migration</t>
  </si>
  <si>
    <t xml:space="preserve">Sumit </t>
  </si>
  <si>
    <t>IBP Add-on Installation</t>
  </si>
  <si>
    <t>Wily Upgrade</t>
  </si>
  <si>
    <t>SybaseASE patch upgrade</t>
  </si>
  <si>
    <t>SMD Agent Monitoring Pause</t>
  </si>
  <si>
    <t>ODBC installation</t>
  </si>
  <si>
    <t>SOP HANA DB ADmin users</t>
  </si>
  <si>
    <t>Verification Pending from Thomas Gerulat</t>
  </si>
  <si>
    <t>JS_AGENT locked and unlocked</t>
  </si>
  <si>
    <t>Pacadm list</t>
  </si>
  <si>
    <t>SPNEGO_ABAP_STACKS</t>
  </si>
  <si>
    <t>SOAMANAGER CONFIGURATION</t>
  </si>
  <si>
    <t xml:space="preserve">Pravin </t>
  </si>
  <si>
    <t>MyPAS Linux Technical Service account Management</t>
  </si>
  <si>
    <t>Michael S</t>
  </si>
  <si>
    <t>MYID PAA_Secondary Account creation</t>
  </si>
  <si>
    <t>PROCESS FOR NEW SERVER PROVISIONING FCI and AZURE</t>
  </si>
  <si>
    <t>Configtool_VNC_process</t>
  </si>
  <si>
    <t>HDBUSERSTORE_DBACOCKPIT_ISSUE_resolve</t>
  </si>
  <si>
    <t>EWA Configuration</t>
  </si>
  <si>
    <t>Nabojita</t>
  </si>
  <si>
    <t>Recovery HANA system</t>
  </si>
  <si>
    <t>SMD_Agent_installation</t>
  </si>
  <si>
    <t>LCM Enhanced Execution Process</t>
  </si>
  <si>
    <t>Disaster Recovery Testing  for S4 HANA</t>
  </si>
  <si>
    <t>SEEBURGER Certificate Renewal Guidelines</t>
  </si>
  <si>
    <t xml:space="preserve">MyPAS – SAP Linux and Windows Technical Service accounts and SAP Technical Team password management Process </t>
  </si>
  <si>
    <t xml:space="preserve">Automated Check of SCC4 &amp; SE06 Settings </t>
  </si>
  <si>
    <t xml:space="preserve">PS: </t>
  </si>
  <si>
    <t>Verified (YES/NO) – Means Proper Document link is Placed or not</t>
  </si>
  <si>
    <t xml:space="preserve">         </t>
  </si>
  <si>
    <t>Status – Means Proper Formatting has been done or not.</t>
  </si>
  <si>
    <t>All the documents are to be upto date as per the Review Date</t>
  </si>
  <si>
    <t>All the responsible Owners for each document should be responsible to update the documents as per the next review dates</t>
  </si>
  <si>
    <t>Both Owner 1 and Owner 2 are responsible for the document to uptodate on each review</t>
  </si>
  <si>
    <t>Next review date should be mentioned by the Owners in the Catalogue after the first rivew completed and the review will take place every 6 months</t>
  </si>
  <si>
    <t>All the memembers in the Basis will use these set of documents to work on the each activity</t>
  </si>
  <si>
    <t>Should not use any local documents for the activities and they need to refer the documents that are mentioned in the Document Catalogue</t>
  </si>
  <si>
    <t>If any new documents to be added to Document Catalogue they need to contact Santosh/Deep to update the Dcoument Catalogue</t>
  </si>
  <si>
    <t>The link and location of the documents should not changed in case if it is need please contact Santosh/Deep</t>
  </si>
  <si>
    <t>If any new changes to the documents are required then they need to contact the owners of the documents to up to date</t>
  </si>
  <si>
    <t>All</t>
  </si>
  <si>
    <t>Row Labels</t>
  </si>
  <si>
    <t>Count of Document Name</t>
  </si>
  <si>
    <t>(blank)</t>
  </si>
  <si>
    <t>Andrez</t>
  </si>
  <si>
    <t>Grand Total</t>
  </si>
  <si>
    <t>Font Name:</t>
  </si>
  <si>
    <t xml:space="preserve"> LindeDaxoffice</t>
  </si>
  <si>
    <t xml:space="preserve">Size for Header </t>
  </si>
  <si>
    <t>Size for Footer</t>
  </si>
  <si>
    <t>Size of Content</t>
  </si>
  <si>
    <t>Back</t>
  </si>
  <si>
    <t>Start Date</t>
  </si>
  <si>
    <t>End Date</t>
  </si>
  <si>
    <t>Status</t>
  </si>
  <si>
    <t>In progress</t>
  </si>
  <si>
    <t>Completion Date</t>
  </si>
  <si>
    <t xml:space="preserve">FIORI_BTP_Setup </t>
  </si>
  <si>
    <t>DBACockpit_connection_systemdb</t>
  </si>
  <si>
    <t>AFL_SAP_SETUP</t>
  </si>
  <si>
    <t>Need to discuss</t>
  </si>
  <si>
    <t>STRUST and License</t>
  </si>
  <si>
    <t>SCC4 settings</t>
  </si>
  <si>
    <t>scripting parameter.</t>
  </si>
  <si>
    <t>How to manage SAP standard templates</t>
  </si>
  <si>
    <t>Review need to be done by Pravin</t>
  </si>
  <si>
    <t>How to update SAPLogon entries on laptops</t>
  </si>
  <si>
    <t>Webdisptacher Connections Setup</t>
  </si>
  <si>
    <t>Wrong Document and need a full review</t>
  </si>
  <si>
    <t>Document is obselete and need to replace the NETT APP HANA restore document</t>
  </si>
  <si>
    <t xml:space="preserve">ASE system Installation in Azure Platform </t>
  </si>
  <si>
    <t>Remarks</t>
  </si>
  <si>
    <t>NA</t>
  </si>
  <si>
    <t>Discuss this with Alok.</t>
  </si>
  <si>
    <t>How to update SAPUILandscape.xml file  for packaging</t>
  </si>
  <si>
    <t>Review Done</t>
  </si>
  <si>
    <t>Pending</t>
  </si>
  <si>
    <t>Subhasish</t>
  </si>
  <si>
    <t>Work in Progress</t>
  </si>
  <si>
    <t>HANA System Restore in FCI</t>
  </si>
  <si>
    <t>SAP Server and Technology Platform - Utsha_Cloud -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</si>
</sst>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F800]dddd\,\ mmmm\ dd\,\ yyyy"/>
  </numFmts>
  <fonts count="20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LindeDaxOffice"/>
      <family val="2"/>
    </font>
    <font>
      <b/>
      <sz val="12"/>
      <color theme="1"/>
      <name val="LindeDaxOffice"/>
      <family val="2"/>
    </font>
    <font>
      <sz val="12"/>
      <color theme="1"/>
      <name val="LindeDaxOffice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LindeDaxOffice"/>
      <family val="2"/>
    </font>
    <font>
      <b/>
      <sz val="10"/>
      <color theme="1"/>
      <name val="LindeDaxOffice"/>
      <family val="2"/>
    </font>
    <font>
      <sz val="11"/>
      <color rgb="FF000000"/>
      <name val="LindeDaxOffice"/>
      <family val="2"/>
    </font>
    <font>
      <b/>
      <sz val="11"/>
      <color theme="1"/>
      <name val="LindeDaxOffice"/>
      <family val="2"/>
    </font>
    <font>
      <b/>
      <u/>
      <sz val="16"/>
      <color theme="1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LindeDaxOffice"/>
      <family val="2"/>
    </font>
    <font>
      <sz val="8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LindeDaxOffice"/>
    </font>
    <font>
      <b/>
      <sz val="12"/>
      <color theme="1"/>
      <name val="LindeDaxOffic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13" xfId="0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10" fillId="2" borderId="0" xfId="1" applyFont="1" applyFill="1"/>
    <xf numFmtId="0" fontId="11" fillId="4" borderId="0" xfId="1" applyFont="1" applyFill="1" applyAlignment="1">
      <alignment vertical="center"/>
    </xf>
    <xf numFmtId="0" fontId="11" fillId="4" borderId="0" xfId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5" fillId="0" borderId="1" xfId="1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5" fillId="0" borderId="1" xfId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5" fillId="0" borderId="0" xfId="1" applyBorder="1" applyAlignment="1">
      <alignment horizontal="center"/>
    </xf>
    <xf numFmtId="0" fontId="2" fillId="0" borderId="17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pivotButton="1"/>
    <xf numFmtId="0" fontId="17" fillId="0" borderId="0" xfId="0" applyFont="1"/>
    <xf numFmtId="0" fontId="3" fillId="0" borderId="14" xfId="0" applyFont="1" applyBorder="1" applyAlignment="1">
      <alignment horizontal="center"/>
    </xf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1" fontId="2" fillId="0" borderId="1" xfId="0" applyNumberFormat="1" applyFont="1" applyBorder="1"/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2" fillId="0" borderId="1" xfId="0" applyNumberFormat="1" applyFont="1" applyFill="1" applyBorder="1"/>
    <xf numFmtId="0" fontId="18" fillId="0" borderId="1" xfId="0" applyFont="1" applyFill="1" applyBorder="1"/>
    <xf numFmtId="1" fontId="18" fillId="0" borderId="1" xfId="0" applyNumberFormat="1" applyFont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8" fillId="3" borderId="0" xfId="0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18" fillId="0" borderId="1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left"/>
    </xf>
    <xf numFmtId="0" fontId="18" fillId="0" borderId="0" xfId="0" applyFont="1" applyAlignment="1">
      <alignment horizontal="center"/>
    </xf>
    <xf numFmtId="164" fontId="18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5" fillId="0" borderId="17" xfId="1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8" fillId="0" borderId="1" xfId="0" applyNumberFormat="1" applyFont="1" applyBorder="1" applyAlignment="1">
      <alignment horizontal="left"/>
    </xf>
    <xf numFmtId="164" fontId="1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19" fillId="0" borderId="1" xfId="0" applyNumberFormat="1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18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5" fillId="2" borderId="1" xfId="1" applyFill="1" applyBorder="1" applyAlignment="1">
      <alignment horizontal="center"/>
    </xf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0" fontId="2" fillId="0" borderId="1" xfId="0" applyFont="1" applyFill="1" applyBorder="1"/>
    <xf numFmtId="1" fontId="18" fillId="0" borderId="1" xfId="0" applyNumberFormat="1" applyFont="1" applyFill="1" applyBorder="1"/>
    <xf numFmtId="0" fontId="2" fillId="0" borderId="21" xfId="0" applyFont="1" applyBorder="1"/>
    <xf numFmtId="0" fontId="7" fillId="0" borderId="0" xfId="0" applyFont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5" fontId="2" fillId="0" borderId="0" xfId="0" applyNumberFormat="1" applyFont="1" applyAlignment="1"/>
    <xf numFmtId="165" fontId="3" fillId="0" borderId="19" xfId="0" applyNumberFormat="1" applyFont="1" applyBorder="1" applyAlignment="1">
      <alignment horizontal="center" wrapText="1"/>
    </xf>
    <xf numFmtId="165" fontId="3" fillId="0" borderId="16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/>
    <xf numFmtId="165" fontId="18" fillId="2" borderId="1" xfId="0" applyNumberFormat="1" applyFont="1" applyFill="1" applyBorder="1" applyAlignment="1">
      <alignment horizontal="center" vertical="center"/>
    </xf>
    <xf numFmtId="165" fontId="18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/>
    <xf numFmtId="165" fontId="18" fillId="0" borderId="17" xfId="0" applyNumberFormat="1" applyFont="1" applyBorder="1" applyAlignment="1">
      <alignment horizontal="center"/>
    </xf>
    <xf numFmtId="165" fontId="18" fillId="0" borderId="0" xfId="0" applyNumberFormat="1" applyFont="1"/>
    <xf numFmtId="165" fontId="19" fillId="0" borderId="19" xfId="0" applyNumberFormat="1" applyFont="1" applyBorder="1" applyAlignment="1">
      <alignment horizontal="center" vertical="center" wrapText="1"/>
    </xf>
    <xf numFmtId="165" fontId="19" fillId="0" borderId="16" xfId="0" applyNumberFormat="1" applyFont="1" applyBorder="1" applyAlignment="1">
      <alignment horizontal="center" vertical="center"/>
    </xf>
    <xf numFmtId="165" fontId="2" fillId="0" borderId="0" xfId="0" applyNumberFormat="1" applyFont="1"/>
    <xf numFmtId="165" fontId="5" fillId="0" borderId="0" xfId="1" applyNumberFormat="1"/>
    <xf numFmtId="165" fontId="18" fillId="0" borderId="1" xfId="0" applyNumberFormat="1" applyFont="1" applyBorder="1"/>
  </cellXfs>
  <cellStyles count="2">
    <cellStyle name="Hyperlink" xfId="1" builtinId="8"/>
    <cellStyle name="Normal" xfId="0" builtinId="0"/>
  </cellStyles>
  <dxfs count="2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</font>
      <fill>
        <patternFill>
          <bgColor theme="7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B0F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Formatting Style'!A1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Formatting Style'!A1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81642</xdr:rowOff>
    </xdr:from>
    <xdr:to>
      <xdr:col>7</xdr:col>
      <xdr:colOff>599793</xdr:colOff>
      <xdr:row>4</xdr:row>
      <xdr:rowOff>159487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AA4DB3E5-49ED-4BAB-AD0A-16915CB8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1642"/>
          <a:ext cx="11401142" cy="966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117927</xdr:colOff>
      <xdr:row>1</xdr:row>
      <xdr:rowOff>126999</xdr:rowOff>
    </xdr:from>
    <xdr:to>
      <xdr:col>2</xdr:col>
      <xdr:colOff>2249713</xdr:colOff>
      <xdr:row>2</xdr:row>
      <xdr:rowOff>235857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91CB9B-D84B-4791-865F-A7B9B1400E01}"/>
            </a:ext>
          </a:extLst>
        </xdr:cNvPr>
        <xdr:cNvSpPr txBox="1"/>
      </xdr:nvSpPr>
      <xdr:spPr>
        <a:xfrm>
          <a:off x="644977" y="304799"/>
          <a:ext cx="5211536" cy="286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2060"/>
              </a:solidFill>
            </a:rPr>
            <a:t>Formating Details </a:t>
          </a:r>
          <a:r>
            <a:rPr lang="en-US" sz="1400" b="1">
              <a:solidFill>
                <a:srgbClr val="C00000"/>
              </a:solidFill>
            </a:rPr>
            <a:t>Click</a:t>
          </a:r>
          <a:r>
            <a:rPr lang="en-US" sz="1400" b="1" baseline="0">
              <a:solidFill>
                <a:srgbClr val="C00000"/>
              </a:solidFill>
            </a:rPr>
            <a:t> Here </a:t>
          </a:r>
          <a:r>
            <a:rPr lang="en-US" sz="1400" b="1" baseline="0">
              <a:solidFill>
                <a:srgbClr val="002060"/>
              </a:solidFill>
            </a:rPr>
            <a:t>or Refer to Formating Style Sheet</a:t>
          </a:r>
          <a:endParaRPr lang="en-US" sz="1400" b="1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326569</xdr:colOff>
      <xdr:row>0</xdr:row>
      <xdr:rowOff>72571</xdr:rowOff>
    </xdr:from>
    <xdr:to>
      <xdr:col>16</xdr:col>
      <xdr:colOff>607783</xdr:colOff>
      <xdr:row>60</xdr:row>
      <xdr:rowOff>4533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C68322-F129-15D2-5D7D-40696738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9926" y="72571"/>
          <a:ext cx="8182428" cy="109718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81642</xdr:rowOff>
    </xdr:from>
    <xdr:to>
      <xdr:col>8</xdr:col>
      <xdr:colOff>1335232</xdr:colOff>
      <xdr:row>6</xdr:row>
      <xdr:rowOff>59814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2295695-0C84-3256-ADB2-B8D3A039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1642"/>
          <a:ext cx="12873181" cy="1222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117927</xdr:colOff>
      <xdr:row>1</xdr:row>
      <xdr:rowOff>126999</xdr:rowOff>
    </xdr:from>
    <xdr:to>
      <xdr:col>2</xdr:col>
      <xdr:colOff>2249713</xdr:colOff>
      <xdr:row>2</xdr:row>
      <xdr:rowOff>235857</xdr:rowOff>
    </xdr:to>
    <xdr:sp macro="" textlink="">
      <xdr:nvSpPr>
        <xdr:cNvPr id="6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FFF247-FD84-7E6D-F60B-8B7DE29EF6C5}"/>
            </a:ext>
          </a:extLst>
        </xdr:cNvPr>
        <xdr:cNvSpPr txBox="1"/>
      </xdr:nvSpPr>
      <xdr:spPr>
        <a:xfrm>
          <a:off x="644070" y="308428"/>
          <a:ext cx="4780643" cy="290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2060"/>
              </a:solidFill>
            </a:rPr>
            <a:t>Formating Details </a:t>
          </a:r>
          <a:r>
            <a:rPr lang="en-US" sz="1400" b="1">
              <a:solidFill>
                <a:srgbClr val="C00000"/>
              </a:solidFill>
            </a:rPr>
            <a:t>Click</a:t>
          </a:r>
          <a:r>
            <a:rPr lang="en-US" sz="1400" b="1" baseline="0">
              <a:solidFill>
                <a:srgbClr val="C00000"/>
              </a:solidFill>
            </a:rPr>
            <a:t> Here </a:t>
          </a:r>
          <a:r>
            <a:rPr lang="en-US" sz="1400" b="1" baseline="0">
              <a:solidFill>
                <a:srgbClr val="002060"/>
              </a:solidFill>
            </a:rPr>
            <a:t>or Refer to Formating Style Sheet</a:t>
          </a:r>
          <a:endParaRPr lang="en-US" sz="1400" b="1">
            <a:solidFill>
              <a:srgbClr val="002060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deep Kumar Jha" refreshedDate="46148.594777314815" backgroundQuery="1" createdVersion="8" refreshedVersion="8" minRefreshableVersion="3" recordCount="0" supportSubquery="1" supportAdvancedDrill="1" xr:uid="{D5D47E91-E21A-4CE6-B78F-50B7E4B30BD1}">
  <cacheSource type="external" connectionId="1"/>
  <cacheFields count="3">
    <cacheField name="[Range].[Owner1].[Owner1]" caption="Owner1" numFmtId="0" hierarchy="3" level="1">
      <sharedItems containsBlank="1" count="23">
        <m/>
        <s v="Alok"/>
        <s v="Andrez"/>
        <s v="Deepjyoti"/>
        <s v="Imran"/>
        <s v="Ivan"/>
        <s v="Michael S"/>
        <s v="Nabojita"/>
        <s v="Pavol"/>
        <s v="Praveen"/>
        <s v="Pravin"/>
        <s v="Rajiv"/>
        <s v="Samyukta"/>
        <s v="Sandeep"/>
        <s v="Santosh"/>
        <s v="Sourav"/>
        <s v="Sreejita"/>
        <s v="Stefan Lancaric"/>
        <s v="Subhashish"/>
        <s v="Sudipta"/>
        <s v="Sumit"/>
        <s v="Utsha"/>
        <s v="Vladimir"/>
      </sharedItems>
    </cacheField>
    <cacheField name="[Measures].[Count of Document Name]" caption="Count of Document Name" numFmtId="0" hierarchy="6" level="32767"/>
    <cacheField name="[Range].[Document Name].[Document Name]" caption="Document Name" numFmtId="0" level="1">
      <sharedItems count="79">
        <s v="PROCESS DOCUMENT LIST"/>
        <s v="TECHNICAL DOCUMENT LIST"/>
        <s v="Basis Operations DO's and DON’T's"/>
        <s v="IBP Add-on Installation"/>
        <s v="KPI_Guidelines_V1.0"/>
        <s v="SEEBURGER Certificate Renewal Guidelines"/>
        <s v="SOP HANA DB ADmin users"/>
        <s v="System Built HANA"/>
        <s v="Disaster Recovery Testing  for S4 HANA"/>
        <s v="HANA Parameter check"/>
        <s v="HANA SPS upgrade"/>
        <s v="HANA system restoration using backint"/>
        <s v="DB13 configuration"/>
        <s v="HANA conversion using DMO"/>
        <s v="HDBUSERSTORE_DBACOCKPIT_ISSUE_resolve"/>
        <s v="Oracle 19c upgrade"/>
        <s v="Self system restoration (oracle)"/>
        <s v="System Built Oracle"/>
        <s v="System Refresh"/>
        <s v="Netapp Migration"/>
        <s v="SAP-Router installation steps"/>
        <s v="Solman upgrade"/>
        <s v="Wily Upgrade"/>
        <s v="MYID PAA_Secondary Account creation"/>
        <s v="Procedure for Client copy"/>
        <s v="Recovery HANA system"/>
        <s v="Redo Log configuration"/>
        <s v="Automated Check of SCC4 &amp; SE06 Settings"/>
        <s v="MyPAS – SAP Linux and Windows Technical Service accounts and SAP Technical Team password management Process"/>
        <s v="MyPAS Linux Technical Service account Management"/>
        <s v="EWA Configuration"/>
        <s v="SMD_Agent_installation"/>
        <s v="ASE Database space check"/>
        <s v="HANA Post Installation Check"/>
        <s v="ODBC installation"/>
        <s v="ST06 configuration"/>
        <s v="SAP SID List"/>
        <s v="SCOT Configuration"/>
        <s v="SOAMANAGER CONFIGURATION"/>
        <s v="Configtool_VNC_process"/>
        <s v="Configure Standard jobs using SJOBREPO"/>
        <s v="Pacadm list"/>
        <s v="SOP_EscalationProcess_V1.0"/>
        <s v="Sybase ASE - Auto DB Expansion Config"/>
        <s v="Azure System Migration"/>
        <s v="Webdisptacher Installation"/>
        <s v="LO_TO EffortUtilization_V1.0"/>
        <s v="Basis SOP"/>
        <s v="Cloud Connector Configuration"/>
        <s v="Document_Catalogue_V1.0"/>
        <s v="System De-commissioning"/>
        <s v="GTS S4 Conversion"/>
        <s v="LCM Enhanced Execution Process"/>
        <s v="LCM Technical SOP"/>
        <s v="SybaseASE patch upgrade"/>
        <s v="Linde Internal Certificate Renewal Process"/>
        <s v="Linde_SPIDER_Certificate_Creation"/>
        <s v="SMD Agent Monitoring Pause"/>
        <s v="LCM Process SOP"/>
        <s v="Ariba Configuration"/>
        <s v="PROCESS FOR NEW SERVER PROVISIONING FCI and AZURE"/>
        <s v="SLT Installation"/>
        <s v="System Monitoring ECC/HANA"/>
        <s v="System Monitoring ECC/Oracle"/>
        <s v="System Monitoring ECC/SYBASE"/>
        <s v="Basis System Security Guidelines"/>
        <s v="Communication_BestPractice_V1.0"/>
        <s v="SAP BW/4HANA 2023 SPS upgrade"/>
        <s v="SNC configuration"/>
        <s v="SPNEGO_ABAP_STACKS"/>
        <s v="Workflow Configuration"/>
        <s v="Basis Security Guidelines"/>
        <s v="Vfaas to Pfaas Migration"/>
        <s v="SAP Cloud Connector Document"/>
        <s v="Tablespace analysis"/>
        <s v="ADS Configuration"/>
        <s v="JS_AGENT locked and unlocked"/>
        <s v="LO_TO_Responsibility_v1.0"/>
        <s v="Mass job change"/>
      </sharedItems>
    </cacheField>
  </cacheFields>
  <cacheHierarchies count="8">
    <cacheHierarchy uniqueName="[Range].[Document Name]" caption="Document Name" attribute="1" defaultMemberUniqueName="[Range].[Document Name].[All]" allUniqueName="[Range].[Document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Location of the Document with Link]" caption="Location of the Document with Link" attribute="1" defaultMemberUniqueName="[Range].[Location of the Document with Link].[All]" allUniqueName="[Range].[Location of the Document with Link].[All]" dimensionUniqueName="[Range]" displayFolder="" count="0" memberValueDatatype="130" unbalanced="0"/>
    <cacheHierarchy uniqueName="[Range].[Verified (YES/NO)]" caption="Verified (YES/NO)" attribute="1" defaultMemberUniqueName="[Range].[Verified (YES/NO)].[All]" allUniqueName="[Range].[Verified (YES/NO)].[All]" dimensionUniqueName="[Range]" displayFolder="" count="0" memberValueDatatype="130" unbalanced="0"/>
    <cacheHierarchy uniqueName="[Range].[Owner1]" caption="Owner1" attribute="1" defaultMemberUniqueName="[Range].[Owner1].[All]" allUniqueName="[Range].[Owner1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ocument Name]" caption="Count of Document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Document Name]" caption="Distinct Count of Document Name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1F9FE-1E61-4C91-B8FE-C299344A98DB}" name="PivotTable4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2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1">
    <pageField fld="2" hier="0" name="[Range].[Document Name].[All]" cap="All"/>
  </pageFields>
  <dataFields count="1">
    <dataField name="Count of Document Name" fld="1" subtotal="count" baseField="0" baseItem="0"/>
  </dataFields>
  <formats count="4">
    <format dxfId="25">
      <pivotArea dataOnly="0" labelOnly="1" fieldPosition="0">
        <references count="2">
          <reference field="0" count="1" selected="0">
            <x v="8"/>
          </reference>
          <reference field="2" count="2">
            <x v="33"/>
            <x v="34"/>
          </reference>
        </references>
      </pivotArea>
    </format>
    <format dxfId="24">
      <pivotArea dataOnly="0" labelOnly="1" fieldPosition="0">
        <references count="2">
          <reference field="0" count="1" selected="0">
            <x v="20"/>
          </reference>
          <reference field="2" count="1">
            <x v="71"/>
          </reference>
        </references>
      </pivotArea>
    </format>
    <format dxfId="23">
      <pivotArea dataOnly="0" labelOnly="1" fieldPosition="0">
        <references count="2">
          <reference field="0" count="1" selected="0">
            <x v="19"/>
          </reference>
          <reference field="2" count="1">
            <x v="65"/>
          </reference>
        </references>
      </pivotArea>
    </format>
    <format dxfId="22">
      <pivotArea dataOnly="0" labelOnly="1" fieldPosition="0">
        <references count="2">
          <reference field="0" count="1" selected="0">
            <x v="14"/>
          </reference>
          <reference field="2" count="1">
            <x v="48"/>
          </reference>
        </references>
      </pivotArea>
    </format>
  </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ocument!$B$12:$E$9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:w:/r/sites/Global%20Server%20And%20Platform%20Operations/siops/Shared%20Documents/2%20-%20OPERATIONS/LCM/SOP/Sybase%20ASE%20Patch%20Upgrade%202024%20Wave%201.docx?d=w72fb2adb07c7464ab228f71ed49ae3c7&amp;csf=1&amp;web=1&amp;e=lzwfER" TargetMode="External"/><Relationship Id="rId21" Type="http://schemas.openxmlformats.org/officeDocument/2006/relationships/hyperlink" Target="../../../../../../../../../../../../../:w:/r/sites/Global%20Server%20And%20Platform%20Operations/siops/Shared%20Documents/2%20-%20OPERATIONS/REDO%20LOG%20configuration/Redo%20Log%20Configuration.docx?d=wed51b68ce99244a2b66bb2053968f7db&amp;csf=1&amp;web=1&amp;e=cEJX00" TargetMode="External"/><Relationship Id="rId42" Type="http://schemas.openxmlformats.org/officeDocument/2006/relationships/hyperlink" Target="../../../../../../../../../../../../../:w:/r/sites/Global%20Server%20And%20Platform%20Operations/siops/Shared%20Documents/3%20-%20PROJECTS/Solman%20activities/EWA%20configuration.docx?d=w87de3bcf872d489298a8b3b7ded4193c&amp;csf=1&amp;web=1&amp;e=2gR6eo" TargetMode="External"/><Relationship Id="rId47" Type="http://schemas.openxmlformats.org/officeDocument/2006/relationships/hyperlink" Target="../../../../../../../../../../../../../:w:/r/sites/Global%20Server%20And%20Platform%20Operations/siops/Shared%20Documents/4%20-%20DOCUMENTATION/documents/S4%20HANA%20General%20docs/Hana%20System%20build%20docs/SWU3_activation.docx?d=w74ea4fc7f4cf406e9ab318c1c7c682eb&amp;csf=1&amp;web=1&amp;e=yNUHqP" TargetMode="External"/><Relationship Id="rId63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Escalation%20Guidelines/SOP_EscalationProcess_V1.0.docx?d=w05c27b383d1a497c91c3b3abbe990b6f&amp;csf=1&amp;web=1&amp;e=NtXg4i" TargetMode="External"/><Relationship Id="rId68" Type="http://schemas.openxmlformats.org/officeDocument/2006/relationships/hyperlink" Target="../../../../../../:p:/r/sites/Global%20Server%20And%20Platform%20Operations/siops/Shared%20Documents/4%20-%20DOCUMENTATION/Procedure/Linde%20SAP%20BASIS%20Operations%20Do%27s%20%26%20Don%27t.pptx?d=w65550fa9d7ed4c2b83a4c4a6155baf38&amp;csf=1&amp;web=1&amp;e=13rHb2" TargetMode="External"/><Relationship Id="rId84" Type="http://schemas.openxmlformats.org/officeDocument/2006/relationships/hyperlink" Target="../../Forms/WIDE.aspx?id=%2Fsites%2FGlobal%20Server%20And%20Platform%20Operations%2Fsiops%2FShared%20Documents%2F2%20%2D%20OPERATIONS%2FCloud%20Connector%2FUtsha%5FCloud&amp;viewid=8d381445%2D193a%2D4128%2D890b%2D36bf43ff9351&amp;xsdata=MDV8MDJ8fDUyNTdlNDE4NDE1MzQyY2Y2YTVmMDhkZWI3MTdkYmJmfDE1NjJmMDA3MDlhNDRmY2I5MzZiZTc5MjQ2NTcxZmM3fDB8MHw2MzkxNDk1MTAyMzIwNzQ4NDd8VW5rbm93bnxWR1ZoYlhOVFpXTjFjbWwwZVZObGNuWnBZMlY4ZXlKRFFTSTZJbFJsWVcxelgwRlVVRk5sY25acFkyVmZVMUJQVEU5R0lpd2lWaUk2SWpBdU1DNHdNREF3SWl3aVVDSTZJbGRwYmpNeUlpd2lRVTRpT2lKUGRHaGxjaUlzSWxkVUlqb3hNWDA9fDF8TDJOb1lYUnpMekU1T21Fek0yTmtPVEl3TFROa1pUa3ROR0kyTXkwNVlXRXdMVEl5TW1RM05EbGlOV0V6Wmw5aU5XWXpaVGxqTXkwMU1EZzJMVFE0WWpFdE9HUmtOeTA0WlRFeE4yRTNOMkU0TW1OQWRXNXhMbWRpYkM1emNHRmpaWE12YldWemMyRm5aWE12TVRjM09UTTFOREl5TURNd053PT18NDZiYTAwMjkwNjBkNDkxMmNkYzkwOGRlYjcxN2RiYmV8N2U4YjczMzg2MDQ4NGRhMGEwYmFmZTY2OTg4OTJmOGI%3D&amp;sdata=bEdWSmdpaEJtSU4rWnVwcEU3aWl6UXR5eElzVjdwZnFudGdvaWg3WHJLYz0%3D&amp;ovuser=1562f007-09a4-4fcb-936b-e79246571fc7%2Cin08f9%40linde.com" TargetMode="External"/><Relationship Id="rId16" Type="http://schemas.openxmlformats.org/officeDocument/2006/relationships/hyperlink" Target="../../../../../../../../../../../../../:w:/r/sites/Global%20Server%20And%20Platform%20Operations/siops/Shared%20Documents/2%20-%20OPERATIONS/Certificate%20Renewal%20Process/Linde%20Internal%20Certificate%20Renewal%20Process.docx?d=w8ba010f90e0944c4a5e33c553c298079&amp;csf=1&amp;web=1&amp;e=5KLNCZ" TargetMode="External"/><Relationship Id="rId11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HANA/ECC_S4_Hana_Basic_monitoring_check_v2.xlsx?d=w174b7c0ae54a4460870f185b9b5380f6&amp;csf=1&amp;web=1&amp;e=HJvnyH" TargetMode="External"/><Relationship Id="rId32" Type="http://schemas.openxmlformats.org/officeDocument/2006/relationships/hyperlink" Target="../../../../../../../../../../../../../:w:/r/sites/Global%20Server%20And%20Platform%20Operations/siops/Shared%20Documents/4%20-%20DOCUMENTATION/Landscape/Knowledge%20Base/SPNEGO_ABAP_STACK_UPDATED.docx?d=w3cc80d471de94a35965dc00d0a002790&amp;csf=1&amp;web=1&amp;e=zIdz2W&amp;xsdata=MDV8MDJ8U2FudG9zaC5LdW1hckBsaW5kZS5jb218YThkNDM3YWEwYzIyNGFlZDk0ODQwOGRkN2NhOWI2NDd8MTU2MmYwMDcwOWE0NGZjYjkzNmJlNzkyNDY1NzFmYzd8MHwwfDYzODgwMzc5MDUzNTQ2NjU2NXxVbmtub3dufFRXRnBiR1pzYjNkOGV5SkZiWEIwZVUxaGNHa2lPblJ5ZFdVc0lsWWlPaUl3TGpBdU1EQXdNQ0lzSWxBaU9pSlhhVzR6TWlJc0lrRk9Jam9pVFdGcGJDSXNJbGRVSWpveWZRPT18MHx8fA%3d%3d&amp;sdata=NDNBOXpmQlpaYnFhTktmUnIyRTNzMll4TUpaY3JXTWxhaXQvRndGbHo3TT0%3d" TargetMode="External"/><Relationship Id="rId37" Type="http://schemas.openxmlformats.org/officeDocument/2006/relationships/hyperlink" Target="../../../../../../../../../../../../../:w:/r/sites/Global%20Server%20And%20Platform%20Operations/siops/Shared%20Documents/3%20-%20PROJECTS/S4%20HANA%20RAF/How_to_docu/Saprouter%20configuration.docx?d=w2c04d93f499f4f1195baf99ebbba32c2&amp;csf=1&amp;web=1&amp;e=oiaMug" TargetMode="External"/><Relationship Id="rId53" Type="http://schemas.openxmlformats.org/officeDocument/2006/relationships/hyperlink" Target="../../../../../../../../../../../../../:w:/r/sites/Global%20Server%20And%20Platform%20Operations/siops/Shared%20Documents/2%20-%20OPERATIONS/St06.docx_final_version.docx?d=w751c6b5dbc0240bda5e15d0e8a306fb3&amp;csf=1&amp;web=1&amp;e=92CXTa" TargetMode="External"/><Relationship Id="rId58" Type="http://schemas.openxmlformats.org/officeDocument/2006/relationships/hyperlink" Target="../../../../../../../../../../../../../:w:/r/sites/Global%20Server%20And%20Platform%20Operations/siops/_layouts/15/Doc.aspx?sourcedoc=%7BBE5CD618-E7AF-4BB5-9D27-EFE45AE0FA15%7D&amp;file=Hana_Parameter_check.docx&amp;action=default&amp;mobileredirect=true&amp;ovuser=1562f007-09a4-4fcb-936b-e79246571fc7%2Cin10f5%40linde.com&amp;clickparams=eyJBcHBOYW1lIjoiVGVhbXMtRGVza3RvcCIsIkFwcFZlcnNpb24iOiI0OS8yNTAzMTMyMTAxNCIsIkhhc0ZlZGVyYXRlZFVzZXIiOmZhbHNlfQ%3D%3D" TargetMode="External"/><Relationship Id="rId74" Type="http://schemas.openxmlformats.org/officeDocument/2006/relationships/hyperlink" Target="../../../../../../:w:/r/sites/Global%20Server%20And%20Platform%20Operations/siops/Shared%20Documents/4%20-%20DOCUMENTATION/Procedure/myPAS/MyPAS%20SAP%20Basis%20password%20management.docx?d=w9108778cba6844c7ab31794f8748c628&amp;csf=1&amp;web=1&amp;e=jQuro7" TargetMode="External"/><Relationship Id="rId79" Type="http://schemas.openxmlformats.org/officeDocument/2006/relationships/hyperlink" Target="../../../../../../:w:/r/sites/Global%20Server%20And%20Platform%20Operations/siops/Shared%20Documents/3%20-%20PROJECTS/S4%20HANA%20General%20docs/Hana%20System%20build%20docs/SCC4%20settings.docx?d=w0ba60b5d7bf64fce8db6c79954439567&amp;csf=1&amp;web=1&amp;e=S05e1A" TargetMode="External"/><Relationship Id="rId5" Type="http://schemas.openxmlformats.org/officeDocument/2006/relationships/hyperlink" Target="../../../../../../../../../../../../../:p:/r/sites/Global%20Server%20And%20Platform%20Operations/siops/Shared%20Documents/4%20-%20DOCUMENTATION/Procedure/Linde%20SAP%20BASIS%20Security%20Guidelines%20GSPO%20Basis.pptx?d=w2e5a3ba360324e848d975fb5cec90746&amp;csf=1&amp;web=1&amp;e=GV1vwn" TargetMode="External"/><Relationship Id="rId19" Type="http://schemas.openxmlformats.org/officeDocument/2006/relationships/hyperlink" Target="../../../../../../../../../../../../../:w:/r/sites/Global%20Server%20And%20Platform%20Operations/siops/Shared%20Documents/2%20-%20OPERATIONS/Web%20Dispatcher/Add%20SID%20to%20Webdispatcher.docx?d=w7f6cfea9088f4dd783bfbef080921457&amp;csf=1&amp;web=1&amp;e=Pajj0a" TargetMode="External"/><Relationship Id="rId14" Type="http://schemas.openxmlformats.org/officeDocument/2006/relationships/hyperlink" Target="../../../../../../../../../../../../../:w:/r/sites/Global%20Server%20And%20Platform%20Operations/siops/Shared%20Documents/3%20-%20PROJECTS/Portal/ADS/ADS_Configuration_in_NW7.5.docx?d=w141d1fa74e80420399732d618552fa63&amp;csf=1&amp;web=1&amp;e=CQsInO" TargetMode="External"/><Relationship Id="rId22" Type="http://schemas.openxmlformats.org/officeDocument/2006/relationships/hyperlink" Target="../../../../../../../../../../../../../:w:/r/sites/Global%20Server%20And%20Platform%20Operations/siops/Shared%20Documents/3%20-%20PROJECTS/Malaga/Supporting%20Documents/Mass%20job%20change.docx?d=w8227198820724f09b09a3e9cea0e65a5&amp;csf=1&amp;web=1&amp;e=LqV9kY" TargetMode="External"/><Relationship Id="rId27" Type="http://schemas.openxmlformats.org/officeDocument/2006/relationships/hyperlink" Target="../../Forms/WIDE.aspx?id=%2Fsites%2FGlobal%20Server%20And%20Platform%20Operations%2Fsiops%2FShared%20Documents%2F2%20%2D%20OPERATIONS%2FCloud%20Connector%2FUtsha%5FCloud&amp;viewid=8d381445%2D193a%2D4128%2D890b%2D36bf43ff9351" TargetMode="External"/><Relationship Id="rId30" Type="http://schemas.openxmlformats.org/officeDocument/2006/relationships/hyperlink" Target="../../../../../../../../../../../../../:w:/r/sites/Global%20Server%20And%20Platform%20Operations/siops/Shared%20Documents/2%20-%20OPERATIONS/ASE/Issue%20Capture%20%26%20Findings/ASE_Issues/JS_Agent_error_sapsa_locked.docx?d=w3709e6bc7d3b4e84bb14302ec9bbaf7d&amp;csf=1&amp;web=1&amp;e=17MorD" TargetMode="External"/><Relationship Id="rId35" Type="http://schemas.openxmlformats.org/officeDocument/2006/relationships/hyperlink" Target="../../../../../../../../../../../../../:p:/r/sites/Global%20Server%20And%20Platform%20Operations/siops/Shared%20Documents/2%20-%20OPERATIONS/HANA/HANA%20Issue/hdbconnectivity%20issue.pptm?d=wc0c099a21d52444f964ec116337bd685&amp;csf=1&amp;web=1&amp;e=lUXgOj" TargetMode="External"/><Relationship Id="rId43" Type="http://schemas.openxmlformats.org/officeDocument/2006/relationships/hyperlink" Target="../../../../../../../../../../../../../:w:/r/sites/Global%20Server%20And%20Platform%20Operations/siops/Shared%20Documents/3%20-%20PROJECTS/Solman%20activities/Wily%20upgrade%20ver1.0.docx?d=we84c79449bc642a08e70c41011773e75&amp;csf=1&amp;web=1&amp;e=Liv0rj" TargetMode="External"/><Relationship Id="rId48" Type="http://schemas.openxmlformats.org/officeDocument/2006/relationships/hyperlink" Target="../../../../../../:w:/r/sites/Global%20Server%20And%20Platform%20Operations/siops/Shared%20Documents/3%20-%20PROJECTS/S4%20HANA%20General%20docs/Hana%20System%20build%20docs/SCOT%20CONFIGURATION.docx?d=w928dc3a544e54a99b017a34965fd9dca&amp;csf=1&amp;web=1&amp;e=bPq6Xf" TargetMode="External"/><Relationship Id="rId56" Type="http://schemas.openxmlformats.org/officeDocument/2006/relationships/hyperlink" Target="../../../../../../:w:/r/sites/Global%20Server%20And%20Platform%20Operations/siops/Shared%20Documents/2%20-%20OPERATIONS/HANA/Veem%20backup/SOP%20for%20HANA%20backup%20and%20Restore/FCI-HANA-Restore%20-%20Latest.docx?d=w98c2ab9b0bc7479db448641c49c52bc1&amp;csf=1&amp;web=1&amp;e=H7uHJj" TargetMode="External"/><Relationship Id="rId64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KPIexpectations/KPI_Guidelines_V1.0.docx?d=w89f1c1ddb2244cffae72ede4295d3083&amp;csf=1&amp;web=1&amp;e=BnOxXZ" TargetMode="External"/><Relationship Id="rId69" Type="http://schemas.openxmlformats.org/officeDocument/2006/relationships/hyperlink" Target="../../../../../../:p:/r/sites/Global%20Server%20And%20Platform%20Operations/siops/Shared%20Documents/4%20-%20DOCUMENTATION/Procedure/Linde%20SAP%20BASIS%20Security%20Guidelines%20GSPO%20Basis.pptx?d=w2e5a3ba360324e848d975fb5cec90746&amp;csf=1&amp;web=1&amp;e=UJa4br" TargetMode="External"/><Relationship Id="rId77" Type="http://schemas.openxmlformats.org/officeDocument/2006/relationships/hyperlink" Target="../../../../../../:w:/r/sites/Global%20Server%20And%20Platform%20Operations/siops/Shared%20Documents/3%20-%20PROJECTS/S4%20HANA%20General%20docs/Hana%20System%20build%20docs/AFL_SAP_SETUP.docx?d=we1b9514f3add46fc8b48939d5d5d6e5d&amp;csf=1&amp;web=1&amp;e=g1vC82" TargetMode="External"/><Relationship Id="rId8" Type="http://schemas.openxmlformats.org/officeDocument/2006/relationships/hyperlink" Target="../../../../../../../../../../../../../:w:/r/sites/Global%20Server%20And%20Platform%20Operations/siops/Shared%20Documents/2%20-%20OPERATIONS/ASE/ASE-SYSTEM_DB_SPACE-check/ASE%20Database%20space%20check.docx?d=we3e21bbbf60149569ee7f6cb5b857f36&amp;csf=1&amp;web=1&amp;e=YZI1HX" TargetMode="External"/><Relationship Id="rId51" Type="http://schemas.openxmlformats.org/officeDocument/2006/relationships/hyperlink" Target="../../Forms/WIDE.aspx?id=%2Fsites%2FGlobal%20Server%20And%20Platform%20Operations%2Fsiops%2FShared%20Documents%2F2%20%2D%20OPERATIONS%2FLCM%2FLCM%20Enhanced%20Implementation%20Process%20Documents&amp;sortField=Modified&amp;isAscending=false&amp;viewid=40aeaa2c%2D7416%2D41e4%2Da50b%2Daa3d2f3d4c5f&amp;FolderCTID=0x01200018A5862A3FF541449B36D2B745FF1936" TargetMode="External"/><Relationship Id="rId72" Type="http://schemas.openxmlformats.org/officeDocument/2006/relationships/hyperlink" Target="../../../../../../:w:/r/sites/Global%20Server%20And%20Platform%20Operations/soldes/_layouts/15/Doc.aspx?sourcedoc=%7B27DB1BA3-6A47-4DBE-9ED6-5B424D45DE99%7D&amp;file=SAP%20Global%20Technical%20Maintenance%20SOP.docx&amp;action=default&amp;mobileredirect=true" TargetMode="External"/><Relationship Id="rId80" Type="http://schemas.openxmlformats.org/officeDocument/2006/relationships/hyperlink" Target="../../../../../../:w:/r/sites/Global%20Server%20And%20Platform%20Operations/siops/Shared%20Documents/3%20-%20PROJECTS/S4%20HANA%20General%20docs/Hana%20System%20build%20docs/scripting%20parameter.docx?d=w66f3c202b8304c50ac3941fa79050ed0&amp;csf=1&amp;web=1&amp;e=19f0P8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../../../../../../../../../../../../../:w:/r/sites/Global%20Server%20And%20Platform%20Operations/siops/Shared%20Documents/3%20-%20PROJECTS/S4%20HANA%20RAF/S9A_S91%20%20TM0/Oracle_installation.docx?d=w0c0b98badfc3423d83f3fa9f5b86e4c3&amp;csf=1&amp;web=1&amp;e=m9PrVe" TargetMode="External"/><Relationship Id="rId12" Type="http://schemas.openxmlformats.org/officeDocument/2006/relationships/hyperlink" Target="../../../../../../../../../../../../../:w:/r/sites/Global%20Server%20And%20Platform%20Operations/siops/Shared%20Documents/2%20-%20OPERATIONS/ASE/ASE%20Automatic%20DB%20Expansion/Sybase%20ASE%20-%20Auto%20DB%20Expansion%20Config%20(NEW).docx?d=w2c1fac6e556d4df085394841ab10aed4&amp;csf=1&amp;web=1&amp;e=WoRUkv" TargetMode="External"/><Relationship Id="rId17" Type="http://schemas.openxmlformats.org/officeDocument/2006/relationships/hyperlink" Target="../../../../../../../../../../../../../:w:/r/sites/Global%20Server%20And%20Platform%20Operations/siops/Shared%20Documents/3%20-%20PROJECTS/BW4HANA%20upgrade/GPW/GPW_SPS_2022to2023_Upgrade.docx?d=w5b153870abf247df98b468b6a38e9db7&amp;csf=1&amp;web=1&amp;e=HxWrMe" TargetMode="External"/><Relationship Id="rId25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Configure%20SAP%20standard%20jobs%20via%20SJOBREPO.docx?d=wd5bcfa269af64e4c934d1e44554e8015&amp;csf=1&amp;web=1&amp;e=2RoAIy" TargetMode="External"/><Relationship Id="rId33" Type="http://schemas.openxmlformats.org/officeDocument/2006/relationships/hyperlink" Target="../../../../../../../../../../../../../:w:/r/sites/Global%20Server%20And%20Platform%20Operations/siops/Shared%20Documents/3%20-%20PROJECTS/IBP%20Add-on%20D1A%20and%20D03/Agent_installation_config_final.docx?d=wa8a473f8007e4963b92d9f12831ef8ba&amp;csf=1&amp;web=1&amp;e=TJ43dK" TargetMode="External"/><Relationship Id="rId38" Type="http://schemas.openxmlformats.org/officeDocument/2006/relationships/hyperlink" Target="../../../../../../:w:/r/sites/Global%20Server%20And%20Platform%20Operations/siops/Shared%20Documents/3%20-%20PROJECTS/S4%20HANA%20General%20docs/Hana%20System%20build%20docs/SMD%20Agent%20Installtion.docx?d=w4dca86b74fcc4dc1bccaac3d1bc18c95&amp;csf=1&amp;web=1&amp;e=JoRUaw" TargetMode="External"/><Relationship Id="rId46" Type="http://schemas.openxmlformats.org/officeDocument/2006/relationships/hyperlink" Target="../../../../../../../../../../../../../:w:/r/sites/Global%20Server%20And%20Platform%20Operations/siops/Shared%20Documents/3%20-%20PROJECTS/Solman%20activities/Solman%20SP10%20upgrade/Solman%20upgrade.docx?d=weffb7f2f220c4d948e922b5577e616f2&amp;csf=1&amp;web=1&amp;e=FaRNA6" TargetMode="External"/><Relationship Id="rId59" Type="http://schemas.openxmlformats.org/officeDocument/2006/relationships/hyperlink" Target="../../../../../../../../../../../../../:w:/r/sites/Global%20Server%20And%20Platform%20Operations/siops/Shared%20Documents/4%20-%20DOCUMENTATION/SOP/SOP%20HANA%20DB%20admin%20users.docx?d=w3218c92dfd6940058221064ec54389af&amp;csf=1&amp;web=1&amp;e=PRtxNH" TargetMode="External"/><Relationship Id="rId67" Type="http://schemas.openxmlformats.org/officeDocument/2006/relationships/hyperlink" Target="../../../SitePages/Home.aspx?RootFolder=%2fsites%2fGlobal+Server+And+Platform+Operations%2fsiops%2fShared+Documents%2f4+-+DOCUMENTATION%2fProcedure%2fDisaster+Recovery%2fFCI+HANA&amp;FolderCTID=0x01200018A5862A3FF541449B36D2B745FF1936&amp;View=%7b46B893C3-9DD8-4694-BB59-C7E968A09D76%7d&amp;xsdata=MDV8MDJ8fGYzNmI2YjRlODk4YzQ5ZGZjNGY0MDhkZGIzOWRjZWZhfDE1NjJmMDA3MDlhNDRmY2I5MzZiZTc5MjQ2NTcxZmM3fDB8MHw2Mzg4NjQyMTI1MjAyNTY3NTZ8VW5rbm93bnxWR1ZoYlhOVFpXTjFjbWwwZVZObGNuWnBZMlY4ZXlKRFFTSTZJbFJsWVcxelgwRlVVRk5sY25acFkyVmZVMUJQVEU5R0lpd2lWaUk2SWpBdU1DNHdNREF3SWl3aVVDSTZJbGRwYmpNeUlpd2lRVTRpT2lKUGRHaGxjaUlzSWxkVUlqb3hNWDA9fDF8TDJOb1lYUnpMekU1T2pOaE16WTROR0k1TFRKbVpESXRORGRoTVMxaVkyVmtMVFZoT0RNM01qZzNZamsyWkY5aU5XWXpaVGxqTXkwMU1EZzJMVFE0WWpFdE9HUmtOeTA0WlRFeE4yRTNOMkU0TW1OQWRXNXhMbWRpYkM1emNHRmpaWE12YldWemMyRm5aWE12TVRjMU1EZ3lORFExTVRjeU9RPT18NjYxMzIyZmJkNDIxNDE0YWM0ZjQwOGRkYjM5ZGNlZmF8Mzk0ZDc5ZTQ2N2M2NGRiY2FkNjkyZTRhMDM4OTAzNzU%3d&amp;sdata=RzhmcUpiTGNkLyt3TlQwTUtqaTRLSUdSNjU3VXdNejkxcHZMR3hjdnBrbz0%3d&amp;ovuser=1562f007-09a4-4fcb-936b-e79246571fc7%2cin08f9%40linde.com&amp;OR=Teams-HL&amp;CT=1750824468130&amp;clickparams=eyJBcHBOYW1lIjoiVGVhbXMtRGVza3RvcCIsIkFwcFZlcnNpb24iOiI0OS8yNTA2MDIwNjYxNCIsIkhhc0ZlZGVyYXRlZFVzZXIiOmZhbHNlfQ%3d%3d&amp;SafelinksUrl=https%3a%2f%2flindegroup.sharepoint.com%2fsites%2fGlobal%2520Server%2520And%2520Platform%2520Operations%2fsiops%2fSitePages%2fHome.aspx" TargetMode="External"/><Relationship Id="rId20" Type="http://schemas.openxmlformats.org/officeDocument/2006/relationships/hyperlink" Target="../../../../../../../../../../../../../:w:/r/sites/Global%20Server%20And%20Platform%20Operations/siops/Shared%20Documents/2%20-%20OPERATIONS/TGE%20Client%20Refresh/Steps_for%20Client_Copy.docx?d=w6aa61a6f273945c79e0e4188e327b64e&amp;csf=1&amp;web=1&amp;e=fXPpWe" TargetMode="External"/><Relationship Id="rId41" Type="http://schemas.openxmlformats.org/officeDocument/2006/relationships/hyperlink" Target="../../../../../../../../../../../../../:l:/r/sites/Global%20Server%20And%20Platform%20Operations/siops/Lists/SAP%20SID%20List?e=gPgCb8" TargetMode="External"/><Relationship Id="rId54" Type="http://schemas.openxmlformats.org/officeDocument/2006/relationships/hyperlink" Target="../../../../../../Forms/WIDE.aspx?id=%2Fsites%2FGlobal%20Server%20And%20Platform%20Operations%2Fsiops%2FShared%20Documents%2F2%20%2D%20OPERATIONS%2FTablespace%20analysis%2FCritical%5FTablespace%5FGuidelines&amp;viewid=8d381445%2D193a%2D4128%2D890b%2D36bf43ff9351&amp;ovuser=1562f007%2D09a4%2D4fcb%2D936b%2De79246571fc7%2Cin08f9%40linde%2Ecom&amp;OR=Teams%2DHL&amp;CT=1744622831130&amp;clickparams=eyJBcHBOYW1lIjoiVGVhbXMtRGVza3RvcCIsIkFwcFZlcnNpb24iOiI0OS8yNTAzMTMyMTAxNCIsIkhhc0ZlZGVyYXRlZFVzZXIiOmZhbHNlfQ%3D%3D" TargetMode="External"/><Relationship Id="rId62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Communication%20Guidelines/Communication_BestPractice_V1.0.docx?d=w74c2828c6fb44f08b28dada92198dde7&amp;csf=1&amp;web=1&amp;e=NgQiMP" TargetMode="External"/><Relationship Id="rId70" Type="http://schemas.openxmlformats.org/officeDocument/2006/relationships/hyperlink" Target="../../../../../../:w:/r/sites/Global%20Server%20And%20Platform%20Operations/siops/Shared%20Documents/2%20-%20OPERATIONS/Certificate%20Renewal%20Process/SeeBurger_Certificate_Renewal_Guidelines.docx?d=w94622303f53e4704916c9ed3814c3324&amp;csf=1&amp;web=1&amp;e=n1tZtc" TargetMode="External"/><Relationship Id="rId75" Type="http://schemas.openxmlformats.org/officeDocument/2006/relationships/hyperlink" Target="../../../../../../:w:/r/sites/Global%20Server%20And%20Platform%20Operations/siops/Shared%20Documents/3%20-%20PROJECTS/S4%20HANA%20General%20docs/Hana%20System%20build%20docs/Interface%20setup%20doc/BTP_FIORI/FIORI_BTP%20seutp.docx?d=wa88631ae022d4aeb8e6d0248cb24eb73&amp;csf=1&amp;web=1&amp;e=ddIBM1" TargetMode="External"/><Relationship Id="rId83" Type="http://schemas.openxmlformats.org/officeDocument/2006/relationships/hyperlink" Target="https://lincipvg3100.edc.linde.grp:44331/ui2/nwbc/?sap-client=100&amp;sap-language=EN&amp;sap-nwbc-node=root&amp;sap-theme=sap_corbu" TargetMode="External"/><Relationship Id="rId1" Type="http://schemas.openxmlformats.org/officeDocument/2006/relationships/hyperlink" Target="../../../../../../../../../../../../../:x:/r/sites/Global%20Server%20And%20Platform%20Operations/siops/Shared%20Documents/2%20-%20OPERATIONS/System%20Refresh/Refresh%20Document%20Template/Runbook_SID_Refresh-TEMPLATE.xlsx?d=w527dbf15d8a945eea86d303425a75782&amp;csf=1&amp;web=1&amp;e=C99Psv" TargetMode="External"/><Relationship Id="rId6" Type="http://schemas.openxmlformats.org/officeDocument/2006/relationships/hyperlink" Target="../../../../../../../../../../../../../:w:/r/sites/Global%20Server%20And%20Platform%20Operations/siops/Shared%20Documents/4%20-%20DOCUMENTATION/documents/DB13%20Configuration.docx?d=w372155f4243b4659b64fa87101b41303&amp;csf=1&amp;web=1&amp;e=1Dl4hO" TargetMode="External"/><Relationship Id="rId15" Type="http://schemas.openxmlformats.org/officeDocument/2006/relationships/hyperlink" Target="../../../../../../../../../../../../../:w:/r/sites/Global%20Server%20And%20Platform%20Operations/siops/Shared%20Documents/3%20-%20PROJECTS/Azure%20Cloud/Cloud-Azure/Migration/Netweaver%207.5%20-%20Azure.docx?d=w8e0d0b039fdb42caa60507866c985a04&amp;csf=1&amp;web=1&amp;e=ej5LUx" TargetMode="External"/><Relationship Id="rId23" Type="http://schemas.openxmlformats.org/officeDocument/2006/relationships/hyperlink" Target="../../../../../../../../../../../../../:w:/r/sites/Global%20Server%20And%20Platform%20Operations/siops/Shared%20Documents/3%20-%20PROJECTS/GTS%20S4%20Conversion/QGG/HANA%20installation%20and%20GTS%20e4H%20Migration%20for%20QGG.docx?d=wfe6f0d07a52340158790722923e999ad&amp;csf=1&amp;web=1&amp;e=BP8cQr" TargetMode="External"/><Relationship Id="rId28" Type="http://schemas.openxmlformats.org/officeDocument/2006/relationships/hyperlink" Target="../../../../../../../../../../../../../:w:/r/sites/Global%20Server%20And%20Platform%20Operations/siops/Shared%20Documents/2%20-%20OPERATIONS/HANA/HANA%20Issue/ODBC_setup.docx?d=web2442dd692b4f4a87221e6e39a2bcc2&amp;csf=1&amp;web=1&amp;e=M0MBJZ" TargetMode="External"/><Relationship Id="rId36" Type="http://schemas.openxmlformats.org/officeDocument/2006/relationships/hyperlink" Target="../../../SitePages/Home.aspx?RootFolder=%2Fsites%2FGlobal%20Server%20And%20Platform%20Operations%2Fsiops%2FShared%20Documents%2F3%20%2D%20PROJECTS%2FNetapp%20Migration%2F02%20Development%20Phase%2FHana%20Stream%2FRestore%20and%20Recovery&amp;FolderCTID=0x01200018A5862A3FF541449B36D2B745FF1936&amp;View=%7B46B893C3%2D9DD8%2D4694%2DBB59%2DC7E968A09D76%7D" TargetMode="External"/><Relationship Id="rId49" Type="http://schemas.openxmlformats.org/officeDocument/2006/relationships/hyperlink" Target="../../../../../../:w:/r/sites/Global%20Server%20And%20Platform%20Operations/siops/Shared%20Documents/4%20-%20DOCUMENTATION/Procedure/SOP%20Inc_Pro_Ser_Cha%20Operation%20Handling%20Process.docx?d=wcebbe173c1d44f9ab399f80b3e9529a4&amp;csf=1&amp;web=1&amp;e=HHgMe7" TargetMode="External"/><Relationship Id="rId57" Type="http://schemas.openxmlformats.org/officeDocument/2006/relationships/hyperlink" Target="../../../../../../../../../../../../../:w:/r/sites/Global%20Server%20And%20Platform%20Operations/siops/Shared%20Documents/3%20-%20PROJECTS/DTH_SPS_Upgrade_v.1.0.docx?d=w0bd3d588864e408c9f6737b4133b56bc&amp;csf=1&amp;web=1&amp;e=UAeCrG" TargetMode="External"/><Relationship Id="rId10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Oracle/ECC_Oracle_Basic_monitoring_check_v2.xlsx?d=wa8ab1bb4ee424d728ee1dea2998ba73c&amp;csf=1&amp;web=1&amp;e=ZgxMiJ" TargetMode="External"/><Relationship Id="rId31" Type="http://schemas.openxmlformats.org/officeDocument/2006/relationships/hyperlink" Target="../../../../../../../../../../../../../:w:/r/sites/Global%20Server%20And%20Platform%20Operations/siops/Shared%20Documents/2%20-%20OPERATIONS/System%20Refresh/Refresh%20Document%20Template/SOAMANAGE%20FIX.docx?d=we416566d2f5c4068ac6c285db32903b1&amp;csf=1&amp;web=1&amp;e=PzzF6Q" TargetMode="External"/><Relationship Id="rId44" Type="http://schemas.openxmlformats.org/officeDocument/2006/relationships/hyperlink" Target="../../../../../../:p:/r/sites/Global%20Server%20And%20Platform%20Operations/siops/Shared%20Documents/4%20-%20DOCUMENTATION/documents/FCI_vFaaS_to_pFaaS_Migration/TSI_vFaaS_pFaaS.pptx?d=w2b12622fb0ac467a9184e44c7bb1034d&amp;csf=1&amp;web=1&amp;e=PHKcC7" TargetMode="External"/><Relationship Id="rId52" Type="http://schemas.openxmlformats.org/officeDocument/2006/relationships/hyperlink" Target="../../../../../../../../../../../../../:w:/r/sites/Global%20Server%20And%20Platform%20Operations/siops/Shared%20Documents/1%20-%20ORG/GSPO%20Management%20Topics/Team%20transformation2024_25/TeamTransformation/SolutionDesign/ImplementingTechnicaldocuments/Document%20Format.docx?d=w8ec13ea3c0c7480986681f535d759634&amp;csf=1&amp;web=1&amp;e=xRbDUb" TargetMode="External"/><Relationship Id="rId60" Type="http://schemas.openxmlformats.org/officeDocument/2006/relationships/hyperlink" Target="../../../SitePages/Home.aspx?RootFolder=%2Fsites%2FGlobal%20Server%20And%20Platform%20Operations%2Fsiops%2FShared%20Documents%2F2%20%2D%20OPERATIONS%2FLCM%2FSOP&amp;FolderCTID=0x01200018A5862A3FF541449B36D2B745FF1936&amp;View=%7B46B893C3%2D9DD8%2D4694%2DBB59%2DC7E968A09D76%7D" TargetMode="External"/><Relationship Id="rId65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Roles%20Definition%20SOP/LO_TO_Responsibility_v1.0.docx?d=w6de3220cbec54dc1a3f6280fda1b702f&amp;csf=1&amp;web=1&amp;e=R9xDYZ" TargetMode="External"/><Relationship Id="rId73" Type="http://schemas.openxmlformats.org/officeDocument/2006/relationships/hyperlink" Target="../../../../../../:w:/r/sites/Global%20Server%20And%20Platform%20Operations/siops/Shared%20Documents/2%20-%20OPERATIONS/LCM/2026/Wave-1/SOP/SCC4_SE06_Checks.docx?d=wa115ac7598c8484eaafc610352405c02&amp;csf=1&amp;web=1&amp;e=JJ7fbY" TargetMode="External"/><Relationship Id="rId78" Type="http://schemas.openxmlformats.org/officeDocument/2006/relationships/hyperlink" Target="../../../../../../:w:/r/sites/Global%20Server%20And%20Platform%20Operations/siops/Shared%20Documents/3%20-%20PROJECTS/S4%20HANA%20General%20docs/Hana%20System%20build%20docs/STRUST%20and%20License%20.docx?d=w4c9729191b44415490f57800f894ef53&amp;csf=1&amp;web=1&amp;e=t0yld9" TargetMode="External"/><Relationship Id="rId81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manage%20SAP%20standard%20templates.docx?d=wce1d1aff13574a118cda3cb0a354ced8&amp;csf=1&amp;web=1&amp;e=6gDtzz" TargetMode="External"/><Relationship Id="rId86" Type="http://schemas.openxmlformats.org/officeDocument/2006/relationships/drawing" Target="../drawings/drawing1.xml"/><Relationship Id="rId4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S4%20HANA%20system%20Installation%20document%20for%20S4%20Project%20sytems.docx?d=w059aa74847b34c2fa4fde7480978cfb9&amp;csf=1&amp;web=1&amp;e=qcqVdA" TargetMode="External"/><Relationship Id="rId9" Type="http://schemas.openxmlformats.org/officeDocument/2006/relationships/hyperlink" Target="../../../../../../:w:/r/sites/Global%20Server%20And%20Platform%20Operations/siops/Shared%20Documents/2%20-%20OPERATIONS/Linde%20SNC_SSO_implementation.docx?d=w6fd46b25a6cd4b45851a1fa1c98560b9&amp;csf=1&amp;web=1&amp;e=MxjBBo" TargetMode="External"/><Relationship Id="rId13" Type="http://schemas.openxmlformats.org/officeDocument/2006/relationships/hyperlink" Target="../../../../../../../../../../../../../:x:/r/sites/Global%20Server%20And%20Platform%20Operations/siops/Shared%20Documents/2%20-%20OPERATIONS/System%20Monitoring/Daily%20Manual%20Monitoring%20Template/ASE_Basic_monitoring_check_1.1.xlsx?d=wcc50b6bcf2664b95b61394c291957071&amp;csf=1&amp;web=1&amp;e=ZUNK7k" TargetMode="External"/><Relationship Id="rId18" Type="http://schemas.openxmlformats.org/officeDocument/2006/relationships/hyperlink" Target="../../../../../../../../../../../../../:w:/r/sites/Global%20Server%20And%20Platform%20Operations/siops/Shared%20Documents/3%20-%20PROJECTS/Oracle19c-Upgrade/Oracle_19C.docx?d=w32a29977472645198911e4ff5a4d3738&amp;csf=1&amp;web=1&amp;e=I4KWqt" TargetMode="External"/><Relationship Id="rId39" Type="http://schemas.openxmlformats.org/officeDocument/2006/relationships/hyperlink" Target="../../../../../../../../../../../../../:w:/r/sites/Global%20Server%20And%20Platform%20Operations/siops/Shared%20Documents/2%20-%20OPERATIONS/ORACLE/System%20Refresh/Self%20System%20restore/QGE_Oracle_Restore_Recovery%203.docx?d=w31737fa9a434408da869934f29a00f9c&amp;csf=1&amp;web=1&amp;e=OVbYyn" TargetMode="External"/><Relationship Id="rId34" Type="http://schemas.openxmlformats.org/officeDocument/2006/relationships/hyperlink" Target="../../../../../../../../../../../../../:w:/r/sites/Global%20Server%20And%20Platform%20Operations/siops/Shared%20Documents/4%20-%20DOCUMENTATION/Procedure/Provisioning/PROCESS%20FOR%20NEW%20SERVER%20PROVISIONING%202025.docx?d=wa0525f08886747ad80a5817f5adc24ac&amp;csf=1&amp;web=1&amp;e=IlJ8vt&amp;xsdata=MDV8MDJ8U2FudG9zaC5LdW1hckBsaW5kZS5jb218OTQ4ZTcwNmFkZjM3NDc2OGZhYjQwOGRkN2NjYzE3M2J8MTU2MmYwMDcwOWE0NGZjYjkzNmJlNzkyNDY1NzFmYzd8MHwwfDYzODgwMzkzODE4MjExNTk1MnxVbmtub3dufFRXRnBiR1pzYjNkOGV5SkZiWEIwZVUxaGNHa2lPblJ5ZFdVc0lsWWlPaUl3TGpBdU1EQXdNQ0lzSWxBaU9pSlhhVzR6TWlJc0lrRk9Jam9pVFdGcGJDSXNJbGRVSWpveWZRPT18MHx8fA%3d%3d&amp;sdata=SlRIWGo3VDl4OFJyWXlTcmNkWll4RFdYbFZxV1RnYjBsbTY3cGlWVFZQQT0%3d" TargetMode="External"/><Relationship Id="rId50" Type="http://schemas.openxmlformats.org/officeDocument/2006/relationships/hyperlink" Target="../../../../../../../../../../../../../:w:/r/sites/Global%20Server%20And%20Platform%20Operations/siops/Shared%20Documents/2%20-%20OPERATIONS/vncserver/Configtool_VNC_procoess.docx?d=w4dba88472f9d41ed90a738af09d2f97b&amp;csf=1&amp;web=1&amp;e=KjYDYq" TargetMode="External"/><Relationship Id="rId55" Type="http://schemas.openxmlformats.org/officeDocument/2006/relationships/hyperlink" Target="../../../../../../../../../../../../../:w:/r/sites/Global%20Server%20And%20Platform%20Operations/siops/_layouts/15/Doc.aspx?sourcedoc=%7BB220328F-DB70-4B1A-BA6A-21BFAE5F9E4B%7D&amp;file=SLT_setup_DRG.docx&amp;action=default&amp;mobileredirect=true" TargetMode="External"/><Relationship Id="rId76" Type="http://schemas.openxmlformats.org/officeDocument/2006/relationships/hyperlink" Target="../../../../../../:w:/r/sites/Global%20Server%20And%20Platform%20Operations/siops/Shared%20Documents/3%20-%20PROJECTS/S4%20HANA%20General%20docs/Hana%20System%20build%20docs/DBACockpit_connection_systemdb.docx?d=w9439ec502a2741c8adbe74a614f67743&amp;csf=1&amp;web=1&amp;e=4Ibfdg" TargetMode="External"/><Relationship Id="rId7" Type="http://schemas.openxmlformats.org/officeDocument/2006/relationships/hyperlink" Target="../../../../../../../../../../../../../:w:/r/sites/Global%20Server%20And%20Platform%20Operations/siops/Shared%20Documents/3%20-%20PROJECTS/S4%20HANA%20RAF/D9A/SUM_%2010.docx?d=wb60b3c40d09a45f18753d44d7429f373&amp;csf=1&amp;web=1&amp;e=UDtacS" TargetMode="External"/><Relationship Id="rId71" Type="http://schemas.openxmlformats.org/officeDocument/2006/relationships/hyperlink" Target="../../../../../../:w:/r/sites/Global%20Server%20And%20Platform%20Operations/siops/Shared%20Documents/3%20-%20PROJECTS/S4%20HANA%20General%20docs/Hana%20System%20build%20docs/checklists/Hana%20Post%20Installation%20checks.docx?d=w2016fbd1a6074e9c8f370c15356053a8&amp;csf=1&amp;web=1&amp;e=c8XTPm" TargetMode="External"/><Relationship Id="rId2" Type="http://schemas.openxmlformats.org/officeDocument/2006/relationships/hyperlink" Target="../../../../../../../../../../../../../:w:/r/sites/Global%20Server%20And%20Platform%20Operations/siops/Shared%20Documents/4%20-%20DOCUMENTATION/Procedure/DecomissionProcedure.docx?d=w4b2b6e4d13994411bbcf645c5bb05592&amp;csf=1&amp;web=1&amp;e=oq8OVg" TargetMode="External"/><Relationship Id="rId29" Type="http://schemas.openxmlformats.org/officeDocument/2006/relationships/hyperlink" Target="../../../../../../../../../../../../../:w:/r/sites/Global%20Server%20And%20Platform%20Operations/siops/Shared%20Documents/2%20-%20OPERATIONS/LCM/2023/Wave-1/SOP/Hana_LCM/MAI%20pause.docx?d=w342f05f7abfe4c88878d01de6c3b6a8f&amp;csf=1&amp;web=1&amp;e=4I51Ri" TargetMode="External"/><Relationship Id="rId24" Type="http://schemas.openxmlformats.org/officeDocument/2006/relationships/hyperlink" Target="../../../../../../../../../../../../../:w:/r/sites/Global%20Server%20And%20Platform%20Operations/siops/Shared%20Documents/3%20-%20PROJECTS/S4%20HANA%20General%20docs/Ariba%20Basis%20Tasks.docx?d=we31d9fb5f44a419b870fa97128c2486c&amp;csf=1&amp;web=1&amp;e=rMzS4v" TargetMode="External"/><Relationship Id="rId40" Type="http://schemas.openxmlformats.org/officeDocument/2006/relationships/hyperlink" Target="../../../../../../../../../../../../../:x:/r/sites/Global%20Server%20And%20Platform%20Operations/siops/Shared%20Documents/5%20-%20OPS%20REPORTS/pacadm/pacadm.xlsb?d=w8d28936e8721414bb2b6e27b74dfbf5b&amp;csf=1&amp;web=1&amp;e=dRDgvm" TargetMode="External"/><Relationship Id="rId45" Type="http://schemas.openxmlformats.org/officeDocument/2006/relationships/hyperlink" Target="../../../SitePages/Home.aspx?RootFolder=%2Fsites%2FGlobal%20Server%20And%20Platform%20Operations%2Fsiops%2FShared%20Documents%2F3%20%2D%20PROJECTS%2FNetapp%20Migration&amp;FolderCTID=0x01200018A5862A3FF541449B36D2B745FF1936&amp;View=%7B46B893C3%2D9DD8%2D4694%2DBB59%2DC7E968A09D76%7D" TargetMode="External"/><Relationship Id="rId66" Type="http://schemas.openxmlformats.org/officeDocument/2006/relationships/hyperlink" Target="../../../../../../:x:/r/sites/Global%20Server%20And%20Platform%20Operations/siops/Shared%20Documents/Repository%20and%20Best%20Practices/Inventory%20Basis%20Documents/Document_Catalogue_V1.0.xlsx?d=w74575fca1c454002ac13ca9a0238575f&amp;csf=1&amp;web=1" TargetMode="External"/><Relationship Id="rId61" Type="http://schemas.openxmlformats.org/officeDocument/2006/relationships/hyperlink" Target="../../../../../../../../../../../../../:w:/r/sites/Global%20Server%20And%20Platform%20Operations/siops/Shared%20Documents/4%20-%20DOCUMENTATION/Procedure/SOP%20Inc_Pro_Ser_Cha%20Operation%20Handling%20Process%20V4.1.docx?d=wcebbe173c1d44f9ab399f80b3e9529a4&amp;csf=1&amp;web=1&amp;e=yGFOAW" TargetMode="External"/><Relationship Id="rId82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update%20SAPLogon%20entries.docx?d=w566dd5589dff4b799f032e884ddd8899&amp;csf=1&amp;web=1&amp;e=uq62i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../../../../../../../../../../../../:w:/r/sites/Global%20Server%20And%20Platform%20Operations/siops/Shared%20Documents/1%20-%20ORG/GSPO%20Management%20Topics/Team%20transformation2024_25/TeamTransformation/SolutionDesign/ImplementingTechnicaldocuments/Document%20Format.docx?d=w8ec13ea3c0c7480986681f535d759634&amp;csf=1&amp;web=1&amp;e=xRbDUb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Configure%20SAP%20standard%20jobs%20via%20SJOBREPO.docx?d=wd5bcfa269af64e4c934d1e44554e8015&amp;csf=1&amp;web=1&amp;e=2RoAIy" TargetMode="External"/><Relationship Id="rId21" Type="http://schemas.openxmlformats.org/officeDocument/2006/relationships/hyperlink" Target="../../../../../../../../../../../../../:w:/r/sites/Global%20Server%20And%20Platform%20Operations/siops/Shared%20Documents/2%20-%20OPERATIONS/TGE%20Client%20Refresh/Steps_for%20Client_Copy.docx?d=w6aa61a6f273945c79e0e4188e327b64e&amp;csf=1&amp;web=1&amp;e=fXPpWe" TargetMode="External"/><Relationship Id="rId42" Type="http://schemas.openxmlformats.org/officeDocument/2006/relationships/hyperlink" Target="../../../../../../../../../../../../../:w:/r/sites/Global%20Server%20And%20Platform%20Operations/siops/Shared%20Documents/2%20-%20OPERATIONS/ORACLE/System%20Refresh/Self%20System%20restore/QGE_Oracle_Restore_Recovery%203.docx?d=w31737fa9a434408da869934f29a00f9c&amp;csf=1&amp;web=1&amp;e=OVbYyn" TargetMode="External"/><Relationship Id="rId47" Type="http://schemas.openxmlformats.org/officeDocument/2006/relationships/hyperlink" Target="../../../../../../:p:/r/sites/Global%20Server%20And%20Platform%20Operations/siops/Shared%20Documents/4%20-%20DOCUMENTATION/documents/FCI_vFaaS_to_pFaaS_Migration/TSI_vFaaS_pFaaS.pptx?d=w2b12622fb0ac467a9184e44c7bb1034d&amp;csf=1&amp;web=1&amp;e=PHKcC7" TargetMode="External"/><Relationship Id="rId63" Type="http://schemas.openxmlformats.org/officeDocument/2006/relationships/hyperlink" Target="https://lindegroup.sharepoint.com.mcas.ms/sites/Global%20Server%20And%20Platform%20Operations/siops/Shared%20Documents/Forms/WIDE.aspx?id=%2Fsites%2FGlobal%20Server%20And%20Platform%20Operations%2Fsiops%2FShared%20Documents%2F2%20%2D%20OPERATIONS%2FLCM%2FSOP&amp;viewid=8d381445%2D193a%2D4128%2D890b%2D36bf43ff9351&amp;ga=1" TargetMode="External"/><Relationship Id="rId68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Roles%20Definition%20SOP/LO_TO_Responsibility_v1.0.docx?d=w6de3220cbec54dc1a3f6280fda1b702f&amp;csf=1&amp;web=1&amp;e=R9xDYZ" TargetMode="External"/><Relationship Id="rId84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update%20SAPLogon%20entries.docx?d=w566dd5589dff4b799f032e884ddd8899&amp;csf=1&amp;web=1&amp;e=uq62io" TargetMode="External"/><Relationship Id="rId16" Type="http://schemas.openxmlformats.org/officeDocument/2006/relationships/hyperlink" Target="../../../../../../../../../../../../../:w:/r/sites/Global%20Server%20And%20Platform%20Operations/siops/Shared%20Documents/2%20-%20OPERATIONS/Certificate%20Renewal%20Process/Linde%20Internal%20Certificate%20Renewal%20Process.docx?d=w8ba010f90e0944c4a5e33c553c298079&amp;csf=1&amp;web=1&amp;e=5KLNCZ" TargetMode="External"/><Relationship Id="rId11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HANA/ECC_S4_Hana_Basic_monitoring_check_v2.xlsx?d=w174b7c0ae54a4460870f185b9b5380f6&amp;csf=1&amp;web=1&amp;e=HJvnyH" TargetMode="External"/><Relationship Id="rId32" Type="http://schemas.openxmlformats.org/officeDocument/2006/relationships/hyperlink" Target="../../../../../../../../../../../../../:w:/r/sites/Global%20Server%20And%20Platform%20Operations/siops/Shared%20Documents/2%20-%20OPERATIONS/ASE/Issue%20Capture%20%26%20Findings/ASE_Issues/JS_Agent_error_sapsa_locked.docx?d=w3709e6bc7d3b4e84bb14302ec9bbaf7d&amp;csf=1&amp;web=1&amp;e=17MorD" TargetMode="External"/><Relationship Id="rId37" Type="http://schemas.openxmlformats.org/officeDocument/2006/relationships/hyperlink" Target="../../../../../../../../../../../../../:w:/r/sites/Global%20Server%20And%20Platform%20Operations/siops/Shared%20Documents/4%20-%20DOCUMENTATION/Procedure/Provisioning/PROCESS%20FOR%20NEW%20SERVER%20PROVISIONING%202025.docx?d=wa0525f08886747ad80a5817f5adc24ac&amp;csf=1&amp;web=1&amp;e=IlJ8vt&amp;xsdata=MDV8MDJ8U2FudG9zaC5LdW1hckBsaW5kZS5jb218OTQ4ZTcwNmFkZjM3NDc2OGZhYjQwOGRkN2NjYzE3M2J8MTU2MmYwMDcwOWE0NGZjYjkzNmJlNzkyNDY1NzFmYzd8MHwwfDYzODgwMzkzODE4MjExNTk1MnxVbmtub3dufFRXRnBiR1pzYjNkOGV5SkZiWEIwZVUxaGNHa2lPblJ5ZFdVc0lsWWlPaUl3TGpBdU1EQXdNQ0lzSWxBaU9pSlhhVzR6TWlJc0lrRk9Jam9pVFdGcGJDSXNJbGRVSWpveWZRPT18MHx8fA%3d%3d&amp;sdata=SlRIWGo3VDl4OFJyWXlTcmNkWll4RFdYbFZxV1RnYjBsbTY3cGlWVFZQQT0%3d" TargetMode="External"/><Relationship Id="rId53" Type="http://schemas.openxmlformats.org/officeDocument/2006/relationships/hyperlink" Target="../../../../../../:w:/r/sites/Global%20Server%20And%20Platform%20Operations/siops/Shared%20Documents/4%20-%20DOCUMENTATION/Procedure/SOP%20Inc_Pro_Ser_Cha%20Operation%20Handling%20Process.docx?d=wcebbe173c1d44f9ab399f80b3e9529a4&amp;csf=1&amp;web=1&amp;e=HHgMe7" TargetMode="External"/><Relationship Id="rId58" Type="http://schemas.openxmlformats.org/officeDocument/2006/relationships/hyperlink" Target="../../../../../../../../../../../../../:w:/r/sites/Global%20Server%20And%20Platform%20Operations/siops/_layouts/15/Doc.aspx?sourcedoc=%7BB220328F-DB70-4B1A-BA6A-21BFAE5F9E4B%7D&amp;file=SLT_setup_DRG.docx&amp;action=default&amp;mobileredirect=true" TargetMode="External"/><Relationship Id="rId74" Type="http://schemas.openxmlformats.org/officeDocument/2006/relationships/hyperlink" Target="../../../../../../:w:/r/sites/Global%20Server%20And%20Platform%20Operations/siops/Shared%20Documents/3%20-%20PROJECTS/S4%20HANA%20General%20docs/Hana%20System%20build%20docs/checklists/Hana%20Post%20Installation%20checks.docx?d=w2016fbd1a6074e9c8f370c15356053a8&amp;csf=1&amp;web=1&amp;e=c8XTPm" TargetMode="External"/><Relationship Id="rId79" Type="http://schemas.openxmlformats.org/officeDocument/2006/relationships/hyperlink" Target="../../../../../../:w:/r/sites/Global%20Server%20And%20Platform%20Operations/siops/Shared%20Documents/3%20-%20PROJECTS/S4%20HANA%20General%20docs/Hana%20System%20build%20docs/AFL_SAP_SETUP.docx?d=we1b9514f3add46fc8b48939d5d5d6e5d&amp;csf=1&amp;web=1&amp;e=g1vC82" TargetMode="External"/><Relationship Id="rId5" Type="http://schemas.openxmlformats.org/officeDocument/2006/relationships/hyperlink" Target="../../../../../../../../../../../../../:p:/r/sites/Global%20Server%20And%20Platform%20Operations/siops/Shared%20Documents/4%20-%20DOCUMENTATION/Procedure/Linde%20SAP%20BASIS%20Security%20Guidelines%20GSPO%20Basis.pptx?d=w2e5a3ba360324e848d975fb5cec90746&amp;csf=1&amp;web=1&amp;e=GV1vwn" TargetMode="External"/><Relationship Id="rId19" Type="http://schemas.openxmlformats.org/officeDocument/2006/relationships/hyperlink" Target="../../../../../../../../../../../../../:w:/r/sites/Global%20Server%20And%20Platform%20Operations/siops/Shared%20Documents/3%20-%20PROJECTS/Oracle19c-Upgrade/Oracle_19C.docx?d=w32a29977472645198911e4ff5a4d3738&amp;csf=1&amp;web=1&amp;e=I4KWqt" TargetMode="External"/><Relationship Id="rId14" Type="http://schemas.openxmlformats.org/officeDocument/2006/relationships/hyperlink" Target="../../../../../../../../../../../../../:w:/r/sites/Global%20Server%20And%20Platform%20Operations/siops/Shared%20Documents/3%20-%20PROJECTS/Portal/ADS/ADS_Configuration_in_NW7.5.docx?d=w141d1fa74e80420399732d618552fa63&amp;csf=1&amp;web=1&amp;e=CQsInO" TargetMode="External"/><Relationship Id="rId22" Type="http://schemas.openxmlformats.org/officeDocument/2006/relationships/hyperlink" Target="../../../../../../../../../../../../../:w:/r/sites/Global%20Server%20And%20Platform%20Operations/siops/Shared%20Documents/2%20-%20OPERATIONS/REDO%20LOG%20configuration/Redo%20Log%20Configuration.docx?d=wed51b68ce99244a2b66bb2053968f7db&amp;csf=1&amp;web=1&amp;e=cEJX00" TargetMode="External"/><Relationship Id="rId27" Type="http://schemas.openxmlformats.org/officeDocument/2006/relationships/hyperlink" Target="../../../../../../2%20-%20OPERATIONS/LCM/2025/Wave-1/SOP/Sybase%20ASE%20Patch%20Upgrade.docx?d=wc12461e9405d4251802321293931883d&amp;xsdata=MDV8MDJ8U2FudG9zaC5LdW1hckBsaW5kZS5jb218YmY5NjBkNWYwNGFkNGEyZmU0MDEwOGRkN2RhMTdjM2R8MTU2MmYwMDcwOWE0NGZjYjkzNmJlNzkyNDY1NzFmYzd8MHwwfDYzODgwNDg1NDcwNDAzNzAzOXxVbmtub3dufFRXRnBiR1pzYjNkOGV5SkZiWEIwZVUxaGNHa2lPblJ5ZFdVc0lsWWlPaUl3TGpBdU1EQXdNQ0lzSWxBaU9pSlhhVzR6TWlJc0lrRk9Jam9pVFdGcGJDSXNJbGRVSWpveWZRPT18MHx8fA%3d%3d&amp;sdata=UmpGYWN5WlBaZ1lMSmFxNUg2VHBkYlMwaG9DWUpVY2MwQkZ3cERTa1lvRT0%3d" TargetMode="External"/><Relationship Id="rId30" Type="http://schemas.openxmlformats.org/officeDocument/2006/relationships/hyperlink" Target="../../../../../../../../../../../../../:w:/r/sites/Global%20Server%20And%20Platform%20Operations/siops/Shared%20Documents/2%20-%20OPERATIONS/HANA/HANA%20Issue/ODBC_setup.docx?d=web2442dd692b4f4a87221e6e39a2bcc2&amp;csf=1&amp;web=1&amp;e=M0MBJZ" TargetMode="External"/><Relationship Id="rId35" Type="http://schemas.openxmlformats.org/officeDocument/2006/relationships/hyperlink" Target="../../../../../../../../../../../../../:w:/r/sites/Global%20Server%20And%20Platform%20Operations/siops/Shared%20Documents/3%20-%20PROJECTS/GTS%20S4%20Conversion/QGG/HANA%20installation%20and%20GTS%20e4H%20Migration%20for%20QGG.docx?d=wfe6f0d07a52340158790722923e999ad&amp;csf=1&amp;web=1&amp;e=BP8cQr" TargetMode="External"/><Relationship Id="rId43" Type="http://schemas.openxmlformats.org/officeDocument/2006/relationships/hyperlink" Target="../../../../../../../../../../../../../:x:/r/sites/Global%20Server%20And%20Platform%20Operations/siops/Shared%20Documents/5%20-%20OPS%20REPORTS/pacadm/pacadm.xlsb?d=w8d28936e8721414bb2b6e27b74dfbf5b&amp;csf=1&amp;web=1&amp;e=dRDgvm" TargetMode="External"/><Relationship Id="rId48" Type="http://schemas.openxmlformats.org/officeDocument/2006/relationships/hyperlink" Target="../../../SitePages/Home.aspx?RootFolder=%2Fsites%2FGlobal%20Server%20And%20Platform%20Operations%2Fsiops%2FShared%20Documents%2F3%20%2D%20PROJECTS%2FNetapp%20Migration&amp;FolderCTID=0x01200018A5862A3FF541449B36D2B745FF1936&amp;View=%7B46B893C3%2D9DD8%2D4694%2DBB59%2DC7E968A09D76%7D" TargetMode="External"/><Relationship Id="rId56" Type="http://schemas.openxmlformats.org/officeDocument/2006/relationships/hyperlink" Target="../../../../../../../../../../../../../:w:/r/sites/Global%20Server%20And%20Platform%20Operations/siops/Shared%20Documents/2%20-%20OPERATIONS/St06.docx_final_version.docx?d=w751c6b5dbc0240bda5e15d0e8a306fb3&amp;csf=1&amp;web=1&amp;e=92CXTa" TargetMode="External"/><Relationship Id="rId64" Type="http://schemas.openxmlformats.org/officeDocument/2006/relationships/hyperlink" Target="../../../../../../../../../../../../../:w:/r/sites/Global%20Server%20And%20Platform%20Operations/siops/Shared%20Documents/4%20-%20DOCUMENTATION/Procedure/SOP%20Inc_Pro_Ser_Cha%20Operation%20Handling%20Process%20V4.1.docx?d=wcebbe173c1d44f9ab399f80b3e9529a4&amp;csf=1&amp;web=1&amp;e=yGFOAW" TargetMode="External"/><Relationship Id="rId69" Type="http://schemas.openxmlformats.org/officeDocument/2006/relationships/hyperlink" Target="../../../../../../:x:/r/sites/Global%20Server%20And%20Platform%20Operations/siops/Shared%20Documents/Repository%20and%20Best%20Practices/Inventory%20Basis%20Documents/Document_Catalogue_V1.0.xlsx?d=w74575fca1c454002ac13ca9a0238575f&amp;csf=1&amp;web=1" TargetMode="External"/><Relationship Id="rId77" Type="http://schemas.openxmlformats.org/officeDocument/2006/relationships/hyperlink" Target="../../../../../../:w:/r/sites/Global%20Server%20And%20Platform%20Operations/siops/Shared%20Documents/4%20-%20DOCUMENTATION/Procedure/myPAS/MyPAS%20SAP%20Basis%20password%20management.docx?d=w9108778cba6844c7ab31794f8748c628&amp;csf=1&amp;web=1&amp;e=jQuro7" TargetMode="External"/><Relationship Id="rId8" Type="http://schemas.openxmlformats.org/officeDocument/2006/relationships/hyperlink" Target="../../../../../../../../../../../../../:w:/r/sites/Global%20Server%20And%20Platform%20Operations/siops/Shared%20Documents/2%20-%20OPERATIONS/ASE/ASE-SYSTEM_DB_SPACE-check/ASE%20Database%20space%20check.docx?d=we3e21bbbf60149569ee7f6cb5b857f36&amp;csf=1&amp;web=1&amp;e=YZI1HX" TargetMode="External"/><Relationship Id="rId51" Type="http://schemas.openxmlformats.org/officeDocument/2006/relationships/hyperlink" Target="../../../../../../../../../../../../../:w:/r/sites/Global%20Server%20And%20Platform%20Operations/siops/Shared%20Documents/4%20-%20DOCUMENTATION/documents/S4%20HANA%20General%20docs/Hana%20System%20build%20docs/SWU3_activation.docx?d=w74ea4fc7f4cf406e9ab318c1c7c682eb&amp;csf=1&amp;web=1&amp;e=yNUHqP" TargetMode="External"/><Relationship Id="rId72" Type="http://schemas.openxmlformats.org/officeDocument/2006/relationships/hyperlink" Target="../../../../../../:p:/r/sites/Global%20Server%20And%20Platform%20Operations/siops/Shared%20Documents/4%20-%20DOCUMENTATION/Procedure/Linde%20SAP%20BASIS%20Security%20Guidelines%20GSPO%20Basis.pptx?d=w2e5a3ba360324e848d975fb5cec90746&amp;csf=1&amp;web=1&amp;e=UJa4br" TargetMode="External"/><Relationship Id="rId80" Type="http://schemas.openxmlformats.org/officeDocument/2006/relationships/hyperlink" Target="../../../../../../:w:/r/sites/Global%20Server%20And%20Platform%20Operations/siops/Shared%20Documents/3%20-%20PROJECTS/S4%20HANA%20General%20docs/Hana%20System%20build%20docs/STRUST%20and%20License%20.docx?d=w4c9729191b44415490f57800f894ef53&amp;csf=1&amp;web=1&amp;e=t0yld9" TargetMode="External"/><Relationship Id="rId85" Type="http://schemas.openxmlformats.org/officeDocument/2006/relationships/printerSettings" Target="../printerSettings/printerSettings3.bin"/><Relationship Id="rId3" Type="http://schemas.openxmlformats.org/officeDocument/2006/relationships/hyperlink" Target="../../../../../../../../../../../../../:w:/r/sites/Global%20Server%20And%20Platform%20Operations/siops/Shared%20Documents/3%20-%20PROJECTS/S4%20HANA%20RAF/S9A_S91%20%20TM0/Oracle_installation.docx?d=w0c0b98badfc3423d83f3fa9f5b86e4c3&amp;csf=1&amp;web=1&amp;e=m9PrVe" TargetMode="External"/><Relationship Id="rId12" Type="http://schemas.openxmlformats.org/officeDocument/2006/relationships/hyperlink" Target="../../../../../../../../../../../../../:w:/r/sites/Global%20Server%20And%20Platform%20Operations/siops/Shared%20Documents/2%20-%20OPERATIONS/ASE/ASE%20Automatic%20DB%20Expansion/Sybase%20ASE%20-%20Auto%20DB%20Expansion%20Config%20(NEW).docx?d=w2c1fac6e556d4df085394841ab10aed4&amp;csf=1&amp;web=1&amp;e=WoRUkv" TargetMode="External"/><Relationship Id="rId17" Type="http://schemas.openxmlformats.org/officeDocument/2006/relationships/hyperlink" Target="../../../../../../../../../../../../../:w:/r/sites/Global%20Server%20And%20Platform%20Operations/siops/Shared%20Documents/2%20-%20OPERATIONS/Certificate%20Renewal%20Process/Linde_SPIDER_Certificate_Creation.docx?d=w6e03879ea31b4250b83aab2ac8b39190&amp;csf=1&amp;web=1&amp;e=Rjgc5H" TargetMode="External"/><Relationship Id="rId25" Type="http://schemas.openxmlformats.org/officeDocument/2006/relationships/hyperlink" Target="../../../../../../../../../../../../../:w:/r/sites/Global%20Server%20And%20Platform%20Operations/siops/Shared%20Documents/3%20-%20PROJECTS/S4%20HANA%20General%20docs/Ariba%20Basis%20Tasks.docx?d=we31d9fb5f44a419b870fa97128c2486c&amp;csf=1&amp;web=1&amp;e=rMzS4v" TargetMode="External"/><Relationship Id="rId33" Type="http://schemas.openxmlformats.org/officeDocument/2006/relationships/hyperlink" Target="../../../../../../../../../../../../../:w:/r/sites/Global%20Server%20And%20Platform%20Operations/siops/Shared%20Documents/2%20-%20OPERATIONS/System%20Refresh/Refresh%20Document%20Template/SOAMANAGE%20FIX.docx?d=we416566d2f5c4068ac6c285db32903b1&amp;csf=1&amp;web=1&amp;e=PzzF6Q" TargetMode="External"/><Relationship Id="rId38" Type="http://schemas.openxmlformats.org/officeDocument/2006/relationships/hyperlink" Target="../../../../../../../../../../../../../:p:/r/sites/Global%20Server%20And%20Platform%20Operations/siops/Shared%20Documents/2%20-%20OPERATIONS/HANA/HANA%20Issue/hdbconnectivity%20issue.pptm?d=wc0c099a21d52444f964ec116337bd685&amp;csf=1&amp;web=1&amp;e=lUXgOj" TargetMode="External"/><Relationship Id="rId46" Type="http://schemas.openxmlformats.org/officeDocument/2006/relationships/hyperlink" Target="../../../../../../../../../../../../../:w:/r/sites/Global%20Server%20And%20Platform%20Operations/siops/Shared%20Documents/3%20-%20PROJECTS/Solman%20activities/Wily%20upgrade%20ver1.0.docx?d=we84c79449bc642a08e70c41011773e75&amp;csf=1&amp;web=1&amp;e=Liv0rj" TargetMode="External"/><Relationship Id="rId59" Type="http://schemas.openxmlformats.org/officeDocument/2006/relationships/hyperlink" Target="../../../../../../../../../../../../../:w:/r/sites/Global%20Server%20And%20Platform%20Operations/siops/_layouts/15/Doc.aspx?sourcedoc=%7B98C2AB9B-0BC7-479D-B448-641C49C52BC1%7D&amp;file=FCI-HANA-Restore%20-%20Latest.docx&amp;action=default&amp;mobileredirect=true&amp;clickparams=eyAiWC1BcHBOYW1lIiA6ICJNaWNyb3NvZnQgT3V0bG9vayIsICJYLUFwcFZlcnNpb24iIDogIjE2LjAuMTc5MjguMjA0NjgiLCAiT1MiIDogIldpbmRvd3MiIH0%3D&amp;CID=F2E9914A-205D-42D9-BE3B-B080CFA88FB0&amp;wdLOR=c009F459F-CBF4-4F18-BBF7-68564C8B9393" TargetMode="External"/><Relationship Id="rId67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KPIexpectations/KPI_Guidelines_V1.0.docx?d=w89f1c1ddb2244cffae72ede4295d3083&amp;csf=1&amp;web=1&amp;e=BnOxXZ" TargetMode="External"/><Relationship Id="rId20" Type="http://schemas.openxmlformats.org/officeDocument/2006/relationships/hyperlink" Target="../../../../../../../../../../../../../:w:/r/sites/Global%20Server%20And%20Platform%20Operations/siops/Shared%20Documents/2%20-%20OPERATIONS/Web%20Dispatcher/Add%20SID%20to%20Webdispatcher.docx?d=w7f6cfea9088f4dd783bfbef080921457&amp;csf=1&amp;web=1&amp;e=Pajj0a" TargetMode="External"/><Relationship Id="rId41" Type="http://schemas.openxmlformats.org/officeDocument/2006/relationships/hyperlink" Target="../../../../../../../../../../../../../:w:/r/sites/Global%20Server%20And%20Platform%20Operations/siops/Shared%20Documents/3%20-%20PROJECTS/S4%20HANA%20RAF/SMD%20Agent%20Installtion.docx?d=w4dca86b74fcc4dc1bccaac3d1bc18c95&amp;csf=1&amp;web=1&amp;e=qc04p1" TargetMode="External"/><Relationship Id="rId54" Type="http://schemas.openxmlformats.org/officeDocument/2006/relationships/hyperlink" Target="../../../../../../../../../../../../../:w:/r/sites/Global%20Server%20And%20Platform%20Operations/siops/Shared%20Documents/2%20-%20OPERATIONS/vncserver/Configtool_VNC_procoess.docx?d=w4dba88472f9d41ed90a738af09d2f97b&amp;csf=1&amp;web=1&amp;e=KjYDYq" TargetMode="External"/><Relationship Id="rId62" Type="http://schemas.openxmlformats.org/officeDocument/2006/relationships/hyperlink" Target="../../../../../../../../../../../../../:w:/r/sites/Global%20Server%20And%20Platform%20Operations/siops/Shared%20Documents/4%20-%20DOCUMENTATION/SOP/SOP%20HANA%20DB%20admin%20users.docx?d=w3218c92dfd6940058221064ec54389af&amp;csf=1&amp;web=1&amp;e=PRtxNH" TargetMode="External"/><Relationship Id="rId70" Type="http://schemas.openxmlformats.org/officeDocument/2006/relationships/hyperlink" Target="../../../SitePages/Home.aspx?RootFolder=%2fsites%2fGlobal+Server+And+Platform+Operations%2fsiops%2fShared+Documents%2f4+-+DOCUMENTATION%2fProcedure%2fDisaster+Recovery%2fFCI+HANA&amp;FolderCTID=0x01200018A5862A3FF541449B36D2B745FF1936&amp;View=%7b46B893C3-9DD8-4694-BB59-C7E968A09D76%7d&amp;xsdata=MDV8MDJ8fGYzNmI2YjRlODk4YzQ5ZGZjNGY0MDhkZGIzOWRjZWZhfDE1NjJmMDA3MDlhNDRmY2I5MzZiZTc5MjQ2NTcxZmM3fDB8MHw2Mzg4NjQyMTI1MjAyNTY3NTZ8VW5rbm93bnxWR1ZoYlhOVFpXTjFjbWwwZVZObGNuWnBZMlY4ZXlKRFFTSTZJbFJsWVcxelgwRlVVRk5sY25acFkyVmZVMUJQVEU5R0lpd2lWaUk2SWpBdU1DNHdNREF3SWl3aVVDSTZJbGRwYmpNeUlpd2lRVTRpT2lKUGRHaGxjaUlzSWxkVUlqb3hNWDA9fDF8TDJOb1lYUnpMekU1T2pOaE16WTROR0k1TFRKbVpESXRORGRoTVMxaVkyVmtMVFZoT0RNM01qZzNZamsyWkY5aU5XWXpaVGxqTXkwMU1EZzJMVFE0WWpFdE9HUmtOeTA0WlRFeE4yRTNOMkU0TW1OQWRXNXhMbWRpYkM1emNHRmpaWE12YldWemMyRm5aWE12TVRjMU1EZ3lORFExTVRjeU9RPT18NjYxMzIyZmJkNDIxNDE0YWM0ZjQwOGRkYjM5ZGNlZmF8Mzk0ZDc5ZTQ2N2M2NGRiY2FkNjkyZTRhMDM4OTAzNzU%3d&amp;sdata=RzhmcUpiTGNkLyt3TlQwTUtqaTRLSUdSNjU3VXdNejkxcHZMR3hjdnBrbz0%3d&amp;ovuser=1562f007-09a4-4fcb-936b-e79246571fc7%2cin08f9%40linde.com&amp;OR=Teams-HL&amp;CT=1750824468130&amp;clickparams=eyJBcHBOYW1lIjoiVGVhbXMtRGVza3RvcCIsIkFwcFZlcnNpb24iOiI0OS8yNTA2MDIwNjYxNCIsIkhhc0ZlZGVyYXRlZFVzZXIiOmZhbHNlfQ%3d%3d&amp;SafelinksUrl=https%3a%2f%2flindegroup.sharepoint.com%2fsites%2fGlobal%2520Server%2520And%2520Platform%2520Operations%2fsiops%2fSitePages%2fHome.aspx" TargetMode="External"/><Relationship Id="rId75" Type="http://schemas.openxmlformats.org/officeDocument/2006/relationships/hyperlink" Target="../../../../../../:w:/r/sites/Global%20Server%20And%20Platform%20Operations/soldes/_layouts/15/Doc.aspx?sourcedoc=%7B27DB1BA3-6A47-4DBE-9ED6-5B424D45DE99%7D&amp;file=SAP%20Global%20Technical%20Maintenance%20SOP.docx&amp;action=default&amp;mobileredirect=true" TargetMode="External"/><Relationship Id="rId83" Type="http://schemas.openxmlformats.org/officeDocument/2006/relationships/hyperlink" Target="../../../../../../:w:/r/sites/Global%20Server%20And%20Platform%20Operations/siops/Shared%20Documents/3%20-%20PROJECTS/S4%20HANA%20General%20docs/Hana%20System%20build%20docs/How%20to%20manage%20SAP%20standard%20templates.docx?d=wce1d1aff13574a118cda3cb0a354ced8&amp;csf=1&amp;web=1&amp;e=6gDtzz" TargetMode="External"/><Relationship Id="rId1" Type="http://schemas.openxmlformats.org/officeDocument/2006/relationships/hyperlink" Target="../../../../../../../../../../../../../:x:/r/sites/Global%20Server%20And%20Platform%20Operations/siops/Shared%20Documents/2%20-%20OPERATIONS/System%20Refresh/Refresh%20Document%20Template/Runbook_SID_Refresh-TEMPLATE.xlsx?d=w527dbf15d8a945eea86d303425a75782&amp;csf=1&amp;web=1&amp;e=C99Psv" TargetMode="External"/><Relationship Id="rId6" Type="http://schemas.openxmlformats.org/officeDocument/2006/relationships/hyperlink" Target="../../../../../../../../../../../../../:w:/r/sites/Global%20Server%20And%20Platform%20Operations/siops/Shared%20Documents/4%20-%20DOCUMENTATION/documents/DB13%20Configuration.docx?d=w372155f4243b4659b64fa87101b41303&amp;csf=1&amp;web=1&amp;e=1Dl4hO" TargetMode="External"/><Relationship Id="rId15" Type="http://schemas.openxmlformats.org/officeDocument/2006/relationships/hyperlink" Target="../../../../../../../../../../../../../:w:/r/sites/Global%20Server%20And%20Platform%20Operations/siops/Shared%20Documents/3%20-%20PROJECTS/Azure%20Cloud/Cloud-Azure/Migration/Netweaver%207.5%20-%20Azure.docx?d=w8e0d0b039fdb42caa60507866c985a04&amp;csf=1&amp;web=1&amp;e=ej5LUx" TargetMode="External"/><Relationship Id="rId23" Type="http://schemas.openxmlformats.org/officeDocument/2006/relationships/hyperlink" Target="../../../../../../../../../../../../../:w:/r/sites/Global%20Server%20And%20Platform%20Operations/siops/Shared%20Documents/3%20-%20PROJECTS/Malaga/Supporting%20Documents/Mass%20job%20change.docx?d=w8227198820724f09b09a3e9cea0e65a5&amp;csf=1&amp;web=1&amp;e=LqV9kY" TargetMode="External"/><Relationship Id="rId28" Type="http://schemas.openxmlformats.org/officeDocument/2006/relationships/hyperlink" Target="../../../../../../Forms/WIDE.aspx?id=%2Fsites%2FGlobal%20Server%20And%20Platform%20Operations%2Fsiops%2FShared%20Documents%2F2%20%2D%20OPERATIONS%2FCloud%20Connector&amp;viewid=8d381445%2D193a%2D4128%2D890b%2D36bf43ff9351&amp;OR=Teams%2DHL&amp;CT=1629270422567&amp;xsdata=MDV8MDJ8fDZmMzBmYmJmMzE5NjQzYjExOTUwMDhkZDY2MDk2NjBlfDE1NjJmMDA3MDlhNDRmY2I5MzZiZTc5MjQ2NTcxZmM3fDB8MHw2Mzg3Nzg5MTI3MDk0MjYyMTN8VW5rbm93bnxWR1ZoYlhOVFpXTjFjbWwwZVZObGNuWnBZMlY4ZXlKV0lqb2lNQzR3TGpBd01EQWlMQ0pRSWpvaVYybHVNeklpTENKQlRpSTZJazkwYUdWeUlpd2lWMVFpT2pFeGZRPT18MXxMMk5vWVhSekx6RTVPbUV6TTJOa09USXdMVE5rWlRrdE5HSTJNeTA1WVdFd0xUSXlNbVEzTkRsaU5XRXpabDlpTldZelpUbGpNeTAxTURnMkxUUTRZakV0T0dSa055MDRaVEV4TjJFM04yRTRNbU5BZFc1eExtZGliQzV6Y0dGalpYTXZiV1Z6YzJGblpYTXZNVGMwTWpJNU5EUTNNRE15TlE9PXxlYmUxY2Y4MDMxOTU0NTM2OWZhNDA4ZGQ2NjA5NjYwZHwyMzQ1Mzg2YzliMzE0MjBjOTZjOTI5MmFhZDRjYThlMQ%3D%3D&amp;sdata=anpaamg2Zmh1VUE2RUh0anp4a3VnMWNqSnhIazlVbjlQYWtYQnAzRThnZz0%3D&amp;ovuser=1562f007-09a4-4fcb-936b-e79246571fc7%2Cf9wj22%40linde.com" TargetMode="External"/><Relationship Id="rId36" Type="http://schemas.openxmlformats.org/officeDocument/2006/relationships/hyperlink" Target="../../../../../../../../../../../../../:w:/r/sites/Global%20Server%20And%20Platform%20Operations/siops/Shared%20Documents/3%20-%20PROJECTS/IBP%20Add-on%20D1A%20and%20D03/Agent_installation_config_final.docx?d=wa8a473f8007e4963b92d9f12831ef8ba&amp;csf=1&amp;web=1&amp;e=TJ43dK" TargetMode="External"/><Relationship Id="rId49" Type="http://schemas.openxmlformats.org/officeDocument/2006/relationships/hyperlink" Target="../../../../../../../../../../../../../:w:/r/sites/Global%20Server%20And%20Platform%20Operations/siops/Shared%20Documents/3%20-%20PROJECTS/Solman%20activities/Solman%20SP10%20upgrade/Solman%20upgrade.docx?d=weffb7f2f220c4d948e922b5577e616f2&amp;csf=1&amp;web=1&amp;e=FaRNA6" TargetMode="External"/><Relationship Id="rId57" Type="http://schemas.openxmlformats.org/officeDocument/2006/relationships/hyperlink" Target="../../../../../../Forms/WIDE.aspx?id=%2Fsites%2FGlobal%20Server%20And%20Platform%20Operations%2Fsiops%2FShared%20Documents%2F2%20%2D%20OPERATIONS%2FTablespace%20analysis%2FCritical%5FTablespace%5FGuidelines&amp;viewid=8d381445%2D193a%2D4128%2D890b%2D36bf43ff9351&amp;ovuser=1562f007%2D09a4%2D4fcb%2D936b%2De79246571fc7%2Cin08f9%40linde%2Ecom&amp;OR=Teams%2DHL&amp;CT=1744622831130&amp;clickparams=eyJBcHBOYW1lIjoiVGVhbXMtRGVza3RvcCIsIkFwcFZlcnNpb24iOiI0OS8yNTAzMTMyMTAxNCIsIkhhc0ZlZGVyYXRlZFVzZXIiOmZhbHNlfQ%3D%3D" TargetMode="External"/><Relationship Id="rId10" Type="http://schemas.openxmlformats.org/officeDocument/2006/relationships/hyperlink" Target="../../../../../../../../../../../../../:x:/r/sites/Global%20Server%20And%20Platform%20Operations/siops/Shared%20Documents/2%20-%20OPERATIONS/System%20Monitoring/New%20Monitoring%20template/Oracle/ECC_Oracle_Basic_monitoring_check_v2.xlsx?d=wa8ab1bb4ee424d728ee1dea2998ba73c&amp;csf=1&amp;web=1&amp;e=ZgxMiJ" TargetMode="External"/><Relationship Id="rId31" Type="http://schemas.openxmlformats.org/officeDocument/2006/relationships/hyperlink" Target="../../../../../../../../../../../../../:w:/r/sites/Global%20Server%20And%20Platform%20Operations/siops/Shared%20Documents/2%20-%20OPERATIONS/LCM/2023/Wave-1/SOP/Hana_LCM/MAI%20pause.docx?d=w342f05f7abfe4c88878d01de6c3b6a8f&amp;csf=1&amp;web=1&amp;e=4I51Ri" TargetMode="External"/><Relationship Id="rId44" Type="http://schemas.openxmlformats.org/officeDocument/2006/relationships/hyperlink" Target="../../../../../../../../../../../../../:l:/r/sites/Global%20Server%20And%20Platform%20Operations/siops/Lists/SAP%20SID%20List?e=gPgCb8" TargetMode="External"/><Relationship Id="rId52" Type="http://schemas.openxmlformats.org/officeDocument/2006/relationships/hyperlink" Target="../../../../../../../../../../../../../:w:/r/sites/Global%20Server%20And%20Platform%20Operations/siops/Shared%20Documents/4%20-%20DOCUMENTATION/documents/S4%20HANA%20General%20docs/Hana%20System%20build%20docs/Scot%20Config.docx?d=w11ccc701f41b4db1a6239396e0edd562&amp;csf=1&amp;web=1&amp;e=v4vS8M" TargetMode="External"/><Relationship Id="rId60" Type="http://schemas.openxmlformats.org/officeDocument/2006/relationships/hyperlink" Target="../../../../../../../../../../../../../:w:/r/sites/Global%20Server%20And%20Platform%20Operations/siops/Shared%20Documents/3%20-%20PROJECTS/DTH_SPS_Upgrade_v.1.0.docx?d=w0bd3d588864e408c9f6737b4133b56bc&amp;csf=1&amp;web=1&amp;e=UAeCrG" TargetMode="External"/><Relationship Id="rId65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Communication%20Guidelines/Communication_BestPractice_V1.0.docx?d=w74c2828c6fb44f08b28dada92198dde7&amp;csf=1&amp;web=1&amp;e=NgQiMP" TargetMode="External"/><Relationship Id="rId73" Type="http://schemas.openxmlformats.org/officeDocument/2006/relationships/hyperlink" Target="../../../../../../:w:/r/sites/Global%20Server%20And%20Platform%20Operations/siops/Shared%20Documents/2%20-%20OPERATIONS/Certificate%20Renewal%20Process/SeeBurger_Certificate_Renewal_Guidelines.docx?d=w94622303f53e4704916c9ed3814c3324&amp;csf=1&amp;web=1&amp;e=n1tZtc" TargetMode="External"/><Relationship Id="rId78" Type="http://schemas.openxmlformats.org/officeDocument/2006/relationships/hyperlink" Target="../../../../../../:w:/r/sites/Global%20Server%20And%20Platform%20Operations/siops/Shared%20Documents/3%20-%20PROJECTS/S4%20HANA%20General%20docs/Hana%20System%20build%20docs/DBACockpit_connection_systemdb.docx?d=w9439ec502a2741c8adbe74a614f67743&amp;csf=1&amp;web=1&amp;e=4Ibfdg" TargetMode="External"/><Relationship Id="rId81" Type="http://schemas.openxmlformats.org/officeDocument/2006/relationships/hyperlink" Target="../../../../../../:w:/r/sites/Global%20Server%20And%20Platform%20Operations/siops/Shared%20Documents/3%20-%20PROJECTS/S4%20HANA%20General%20docs/Hana%20System%20build%20docs/SCC4%20settings.docx?d=w0ba60b5d7bf64fce8db6c79954439567&amp;csf=1&amp;web=1&amp;e=S05e1A" TargetMode="External"/><Relationship Id="rId86" Type="http://schemas.openxmlformats.org/officeDocument/2006/relationships/drawing" Target="../drawings/drawing3.xml"/><Relationship Id="rId4" Type="http://schemas.openxmlformats.org/officeDocument/2006/relationships/hyperlink" Target="../../../../../../../../../../../../../:w:/r/sites/Global%20Server%20And%20Platform%20Operations/siops/Shared%20Documents/3%20-%20PROJECTS/S4%20HANA%20General%20docs/Hana%20System%20build%20docs/S4%20HANA%20system%20Installation%20document%20for%20S4%20Project%20sytems.docx?d=w059aa74847b34c2fa4fde7480978cfb9&amp;csf=1&amp;web=1&amp;e=qcqVdA" TargetMode="External"/><Relationship Id="rId9" Type="http://schemas.openxmlformats.org/officeDocument/2006/relationships/hyperlink" Target="../../../../../../:w:/r/sites/Global%20Server%20And%20Platform%20Operations/siops/Shared%20Documents/2%20-%20OPERATIONS/Linde%20SNC_SSO_implementation.docx?d=w6fd46b25a6cd4b45851a1fa1c98560b9&amp;csf=1&amp;web=1&amp;e=MxjBBo" TargetMode="External"/><Relationship Id="rId13" Type="http://schemas.openxmlformats.org/officeDocument/2006/relationships/hyperlink" Target="../../../../../../../../../../../../../:x:/r/sites/Global%20Server%20And%20Platform%20Operations/siops/Shared%20Documents/2%20-%20OPERATIONS/System%20Monitoring/Daily%20Manual%20Monitoring%20Template/ASE_Basic_monitoring_check_1.1.xlsx?d=wcc50b6bcf2664b95b61394c291957071&amp;csf=1&amp;web=1&amp;e=ZUNK7k" TargetMode="External"/><Relationship Id="rId18" Type="http://schemas.openxmlformats.org/officeDocument/2006/relationships/hyperlink" Target="../../../../../../../../../../../../../:w:/r/sites/Global%20Server%20And%20Platform%20Operations/siops/Shared%20Documents/3%20-%20PROJECTS/BW4HANA%20upgrade/GPW/GPW_SPS_2022to2023_Upgrade.docx?d=w5b153870abf247df98b468b6a38e9db7&amp;csf=1&amp;web=1&amp;e=HxWrMe" TargetMode="External"/><Relationship Id="rId39" Type="http://schemas.openxmlformats.org/officeDocument/2006/relationships/hyperlink" Target="../../../../../../../../../../../../../:w:/r/sites/Global%20Server%20And%20Platform%20Operations/siops/Shared%20Documents/2%20-%20OPERATIONS/HANA/Veem%20backup/Hana%20recovery/Hana%20Restore%20from%20Veeam.docx?d=wd8ab3886b168453884740de98dc982fe&amp;csf=1&amp;web=1&amp;e=ZJr2uN" TargetMode="External"/><Relationship Id="rId34" Type="http://schemas.openxmlformats.org/officeDocument/2006/relationships/hyperlink" Target="../../../../../../../../../../../../../:w:/r/sites/Global%20Server%20And%20Platform%20Operations/siops/Shared%20Documents/4%20-%20DOCUMENTATION/Landscape/Knowledge%20Base/SPNEGO_ABAP_STACK_UPDATED.docx?d=w3cc80d471de94a35965dc00d0a002790&amp;csf=1&amp;web=1&amp;e=zIdz2W&amp;xsdata=MDV8MDJ8U2FudG9zaC5LdW1hckBsaW5kZS5jb218YThkNDM3YWEwYzIyNGFlZDk0ODQwOGRkN2NhOWI2NDd8MTU2MmYwMDcwOWE0NGZjYjkzNmJlNzkyNDY1NzFmYzd8MHwwfDYzODgwMzc5MDUzNTQ2NjU2NXxVbmtub3dufFRXRnBiR1pzYjNkOGV5SkZiWEIwZVUxaGNHa2lPblJ5ZFdVc0lsWWlPaUl3TGpBdU1EQXdNQ0lzSWxBaU9pSlhhVzR6TWlJc0lrRk9Jam9pVFdGcGJDSXNJbGRVSWpveWZRPT18MHx8fA%3d%3d&amp;sdata=NDNBOXpmQlpaYnFhTktmUnIyRTNzMll4TUpaY3JXTWxhaXQvRndGbHo3TT0%3d" TargetMode="External"/><Relationship Id="rId50" Type="http://schemas.openxmlformats.org/officeDocument/2006/relationships/hyperlink" Target="../../../../../../../../../../../../../:w:/r/sites/Global%20Server%20And%20Platform%20Operations/siops/Shared%20Documents/2%20-%20OPERATIONS/MyPass%20and%20MyID/MyPAS%20Linux%20Technical%20Service%20account%20Management.docx?d=wbf6a6d09182f4a61b5d645068e96dca8&amp;csf=1&amp;web=1&amp;e=rbmR27" TargetMode="External"/><Relationship Id="rId55" Type="http://schemas.openxmlformats.org/officeDocument/2006/relationships/hyperlink" Target="https://lindegroup.sharepoint.com.mcas.ms/:w:/r/sites/Global%20Server%20And%20Platform%20Operations/siops/_layouts/15/Doc.aspx?sourcedoc=%7BE2DCA39F-4B33-468F-9EB2-4D65E1E12393%7D&amp;file=LCM%20Enhancement%20Process.docx&amp;action=default&amp;mobileredirect=true" TargetMode="External"/><Relationship Id="rId76" Type="http://schemas.openxmlformats.org/officeDocument/2006/relationships/hyperlink" Target="../../../../../../:w:/r/sites/Global%20Server%20And%20Platform%20Operations/siops/Shared%20Documents/2%20-%20OPERATIONS/LCM/2026/Wave-1/SOP/SCC4_SE06_Checks.docx?d=wa115ac7598c8484eaafc610352405c02&amp;csf=1&amp;web=1&amp;e=JJ7fbY" TargetMode="External"/><Relationship Id="rId7" Type="http://schemas.openxmlformats.org/officeDocument/2006/relationships/hyperlink" Target="../../../../../../../../../../../../../:w:/r/sites/Global%20Server%20And%20Platform%20Operations/siops/Shared%20Documents/3%20-%20PROJECTS/S4%20HANA%20RAF/D9A/SUM_%2010.docx?d=wb60b3c40d09a45f18753d44d7429f373&amp;csf=1&amp;web=1&amp;e=UDtacS" TargetMode="External"/><Relationship Id="rId71" Type="http://schemas.openxmlformats.org/officeDocument/2006/relationships/hyperlink" Target="../../../../../../:p:/r/sites/Global%20Server%20And%20Platform%20Operations/siops/Shared%20Documents/4%20-%20DOCUMENTATION/Procedure/Linde%20SAP%20BASIS%20Operations%20Do%27s%20%26%20Don%27t.pptx?d=w65550fa9d7ed4c2b83a4c4a6155baf38&amp;csf=1&amp;web=1&amp;e=13rHb2" TargetMode="External"/><Relationship Id="rId2" Type="http://schemas.openxmlformats.org/officeDocument/2006/relationships/hyperlink" Target="../../../../../../../../../../../../../:w:/r/sites/Global%20Server%20And%20Platform%20Operations/siops/Shared%20Documents/4%20-%20DOCUMENTATION/Procedure/DecomissionProcedure.docx?d=w4b2b6e4d13994411bbcf645c5bb05592&amp;csf=1&amp;web=1&amp;e=oq8OVg" TargetMode="External"/><Relationship Id="rId29" Type="http://schemas.openxmlformats.org/officeDocument/2006/relationships/hyperlink" Target="../../../../../../Forms/WIDE.aspx?id=%2Fsites%2FGlobal%20Server%20And%20Platform%20Operations%2Fsiops%2FShared%20Documents%2F2%20%2D%20OPERATIONS%2FCloud%20Connector&amp;viewid=8d381445%2D193a%2D4128%2D890b%2D36bf43ff9351&amp;OR=Teams%2DHL&amp;CT=1629270422567&amp;xsdata=MDV8MDJ8fDZmMzBmYmJmMzE5NjQzYjExOTUwMDhkZDY2MDk2NjBlfDE1NjJmMDA3MDlhNDRmY2I5MzZiZTc5MjQ2NTcxZmM3fDB8MHw2Mzg3Nzg5MTI3MDk0MjYyMTN8VW5rbm93bnxWR1ZoYlhOVFpXTjFjbWwwZVZObGNuWnBZMlY4ZXlKV0lqb2lNQzR3TGpBd01EQWlMQ0pRSWpvaVYybHVNeklpTENKQlRpSTZJazkwYUdWeUlpd2lWMVFpT2pFeGZRPT18MXxMMk5vWVhSekx6RTVPbUV6TTJOa09USXdMVE5rWlRrdE5HSTJNeTA1WVdFd0xUSXlNbVEzTkRsaU5XRXpabDlpTldZelpUbGpNeTAxTURnMkxUUTRZakV0T0dSa055MDRaVEV4TjJFM04yRTRNbU5BZFc1eExtZGliQzV6Y0dGalpYTXZiV1Z6YzJGblpYTXZNVGMwTWpJNU5EUTNNRE15TlE9PXxlYmUxY2Y4MDMxOTU0NTM2OWZhNDA4ZGQ2NjA5NjYwZHwyMzQ1Mzg2YzliMzE0MjBjOTZjOTI5MmFhZDRjYThlMQ%3D%3D&amp;sdata=anpaamg2Zmh1VUE2RUh0anp4a3VnMWNqSnhIazlVbjlQYWtYQnAzRThnZz0%3D&amp;ovuser=1562f007-09a4-4fcb-936b-e79246571fc7%2Cf9wj22%40linde.com" TargetMode="External"/><Relationship Id="rId24" Type="http://schemas.openxmlformats.org/officeDocument/2006/relationships/hyperlink" Target="../../../../../../../../../../../../../:w:/r/sites/Global%20Server%20And%20Platform%20Operations/siops/Shared%20Documents/3%20-%20PROJECTS/GTS%20S4%20Conversion/QGG/HANA%20installation%20and%20GTS%20e4H%20Migration%20for%20QGG.docx?d=wfe6f0d07a52340158790722923e999ad&amp;csf=1&amp;web=1&amp;e=BP8cQr" TargetMode="External"/><Relationship Id="rId40" Type="http://schemas.openxmlformats.org/officeDocument/2006/relationships/hyperlink" Target="../../../../../../../../../../../../../:w:/r/sites/Global%20Server%20And%20Platform%20Operations/siops/Shared%20Documents/3%20-%20PROJECTS/S4%20HANA%20RAF/How_to_docu/Saprouter%20configuration.docx?d=w2c04d93f499f4f1195baf99ebbba32c2&amp;csf=1&amp;web=1&amp;e=oiaMug" TargetMode="External"/><Relationship Id="rId45" Type="http://schemas.openxmlformats.org/officeDocument/2006/relationships/hyperlink" Target="../../../../../../../../../../../../../:w:/r/sites/Global%20Server%20And%20Platform%20Operations/siops/Shared%20Documents/3%20-%20PROJECTS/Solman%20activities/EWA%20configuration.docx?d=w87de3bcf872d489298a8b3b7ded4193c&amp;csf=1&amp;web=1&amp;e=2gR6eo" TargetMode="External"/><Relationship Id="rId66" Type="http://schemas.openxmlformats.org/officeDocument/2006/relationships/hyperlink" Target="../../../../../../:w:/r/sites/Global%20Server%20And%20Platform%20Operations/siops/Shared%20Documents/1%20-%20ORG/GSPO%20Management%20Topics/Team%20transformation2024_25/TeamTransformation/SolutionDesign/Escalation%20Guidelines/SOP_EscalationProcess_V1.0.docx?d=w05c27b383d1a497c91c3b3abbe990b6f&amp;csf=1&amp;web=1&amp;e=NtXg4i" TargetMode="External"/><Relationship Id="rId61" Type="http://schemas.openxmlformats.org/officeDocument/2006/relationships/hyperlink" Target="../../../../../../../../../../../../../:w:/r/sites/Global%20Server%20And%20Platform%20Operations/siops/_layouts/15/Doc.aspx?sourcedoc=%7BBE5CD618-E7AF-4BB5-9D27-EFE45AE0FA15%7D&amp;file=Hana_Parameter_check.docx&amp;action=default&amp;mobileredirect=true&amp;ovuser=1562f007-09a4-4fcb-936b-e79246571fc7%2Cin10f5%40linde.com&amp;clickparams=eyJBcHBOYW1lIjoiVGVhbXMtRGVza3RvcCIsIkFwcFZlcnNpb24iOiI0OS8yNTAzMTMyMTAxNCIsIkhhc0ZlZGVyYXRlZFVzZXIiOmZhbHNlfQ%3D%3D" TargetMode="External"/><Relationship Id="rId82" Type="http://schemas.openxmlformats.org/officeDocument/2006/relationships/hyperlink" Target="../../../../../../:w:/r/sites/Global%20Server%20And%20Platform%20Operations/siops/Shared%20Documents/3%20-%20PROJECTS/S4%20HANA%20General%20docs/Hana%20System%20build%20docs/scripting%20parameter.docx?d=w66f3c202b8304c50ac3941fa79050ed0&amp;csf=1&amp;web=1&amp;e=19f0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B75A-519F-4291-92E4-A594FDE6EB36}">
  <dimension ref="A2:LE99"/>
  <sheetViews>
    <sheetView tabSelected="1" zoomScale="88" zoomScaleNormal="88" workbookViewId="0">
      <pane ySplit="9" topLeftCell="A10" activePane="bottomLeft" state="frozen"/>
      <selection pane="bottomLeft" activeCell="K7" sqref="K7"/>
    </sheetView>
  </sheetViews>
  <sheetFormatPr defaultColWidth="8.7109375" defaultRowHeight="15" x14ac:dyDescent="0.25"/>
  <cols>
    <col min="1" max="1" width="7.5703125" style="13" bestFit="1" customWidth="1"/>
    <col min="2" max="2" width="51.5703125" style="13" customWidth="1"/>
    <col min="3" max="3" width="24.7109375" style="13" customWidth="1"/>
    <col min="4" max="4" width="13.42578125" style="13" bestFit="1" customWidth="1"/>
    <col min="5" max="5" width="13.140625" style="13" customWidth="1"/>
    <col min="6" max="6" width="26.7109375" style="13" bestFit="1" customWidth="1"/>
    <col min="7" max="7" width="17.42578125" style="13" customWidth="1"/>
    <col min="8" max="8" width="24.42578125" style="109" bestFit="1" customWidth="1"/>
    <col min="9" max="9" width="29.7109375" style="124" bestFit="1" customWidth="1"/>
    <col min="10" max="10" width="9.85546875" style="13" bestFit="1" customWidth="1"/>
    <col min="11" max="12" width="8.7109375" style="13"/>
    <col min="13" max="13" width="12" style="13" bestFit="1" customWidth="1"/>
    <col min="14" max="16384" width="8.7109375" style="13"/>
  </cols>
  <sheetData>
    <row r="2" spans="1:18" x14ac:dyDescent="0.25">
      <c r="B2" s="101"/>
      <c r="C2" s="102"/>
      <c r="D2" s="102"/>
      <c r="E2" s="53"/>
      <c r="F2" s="53"/>
      <c r="G2" s="83"/>
      <c r="I2" s="121"/>
    </row>
    <row r="3" spans="1:18" ht="27.95" customHeight="1" x14ac:dyDescent="0.25">
      <c r="B3" s="101"/>
      <c r="C3" s="103"/>
      <c r="D3" s="103"/>
      <c r="E3" s="54"/>
      <c r="F3" s="54"/>
      <c r="G3" s="84"/>
      <c r="I3" s="121"/>
    </row>
    <row r="4" spans="1:18" x14ac:dyDescent="0.25">
      <c r="B4" s="101"/>
      <c r="C4" s="18"/>
      <c r="D4" s="19"/>
      <c r="E4" s="19"/>
      <c r="F4" s="19"/>
      <c r="G4" s="19"/>
      <c r="I4" s="121"/>
    </row>
    <row r="5" spans="1:18" x14ac:dyDescent="0.25">
      <c r="I5" s="121"/>
    </row>
    <row r="6" spans="1:18" s="29" customFormat="1" x14ac:dyDescent="0.25">
      <c r="A6" s="13"/>
      <c r="B6" s="13"/>
      <c r="C6" s="13"/>
      <c r="D6" s="13"/>
      <c r="E6" s="13"/>
      <c r="F6" s="13"/>
      <c r="G6" s="13"/>
      <c r="H6" s="109"/>
      <c r="I6" s="121"/>
      <c r="J6" s="13"/>
      <c r="K6" s="13"/>
      <c r="L6" s="13"/>
      <c r="M6" s="13"/>
    </row>
    <row r="7" spans="1:18" ht="22.5" customHeight="1" thickBot="1" x14ac:dyDescent="0.3">
      <c r="B7" s="23" t="s">
        <v>0</v>
      </c>
      <c r="I7" s="121"/>
    </row>
    <row r="8" spans="1:18" ht="15.95" customHeight="1" thickBot="1" x14ac:dyDescent="0.3">
      <c r="D8" s="40" t="s">
        <v>1</v>
      </c>
      <c r="E8" s="43"/>
      <c r="F8" s="43"/>
      <c r="G8" s="43"/>
      <c r="H8" s="104">
        <v>2026</v>
      </c>
      <c r="I8" s="105"/>
    </row>
    <row r="9" spans="1:18" s="16" customFormat="1" ht="63.75" thickBot="1" x14ac:dyDescent="0.3">
      <c r="A9" s="51" t="s">
        <v>2</v>
      </c>
      <c r="B9" s="51" t="s">
        <v>3</v>
      </c>
      <c r="C9" s="52" t="s">
        <v>4</v>
      </c>
      <c r="D9" s="51" t="s">
        <v>5</v>
      </c>
      <c r="E9" s="52" t="s">
        <v>6</v>
      </c>
      <c r="F9" s="51" t="s">
        <v>157</v>
      </c>
      <c r="G9" s="51" t="s">
        <v>140</v>
      </c>
      <c r="H9" s="110" t="s">
        <v>7</v>
      </c>
      <c r="I9" s="122" t="s">
        <v>8</v>
      </c>
    </row>
    <row r="10" spans="1:18" s="16" customFormat="1" ht="20.25" x14ac:dyDescent="0.25">
      <c r="A10" s="32"/>
      <c r="B10" s="33" t="s">
        <v>9</v>
      </c>
      <c r="C10" s="34"/>
      <c r="D10" s="34"/>
      <c r="E10" s="34"/>
      <c r="F10" s="34"/>
      <c r="G10" s="34"/>
      <c r="H10" s="111"/>
      <c r="I10" s="123"/>
    </row>
    <row r="11" spans="1:18" x14ac:dyDescent="0.25">
      <c r="A11" s="35">
        <v>1</v>
      </c>
      <c r="B11" s="14" t="s">
        <v>10</v>
      </c>
      <c r="C11" s="25" t="s">
        <v>11</v>
      </c>
      <c r="D11" s="14" t="s">
        <v>12</v>
      </c>
      <c r="E11" s="55">
        <v>365</v>
      </c>
      <c r="F11" s="56" t="s">
        <v>13</v>
      </c>
      <c r="G11" s="56" t="s">
        <v>161</v>
      </c>
      <c r="H11" s="112">
        <v>46157</v>
      </c>
      <c r="I11" s="113">
        <f t="shared" ref="I11:I19" si="0">H11+E11</f>
        <v>46522</v>
      </c>
      <c r="J11" s="47"/>
      <c r="M11" s="44"/>
      <c r="O11" s="44"/>
      <c r="P11" s="44"/>
      <c r="Q11" s="44"/>
      <c r="R11" s="44"/>
    </row>
    <row r="12" spans="1:18" x14ac:dyDescent="0.25">
      <c r="A12" s="35">
        <v>2</v>
      </c>
      <c r="B12" s="14" t="s">
        <v>14</v>
      </c>
      <c r="C12" s="25" t="s">
        <v>11</v>
      </c>
      <c r="D12" s="14" t="s">
        <v>15</v>
      </c>
      <c r="E12" s="55">
        <f>365/4</f>
        <v>91.25</v>
      </c>
      <c r="F12" s="45" t="s">
        <v>13</v>
      </c>
      <c r="G12" s="45"/>
      <c r="H12" s="112">
        <v>46203</v>
      </c>
      <c r="I12" s="113">
        <f t="shared" si="0"/>
        <v>46294.25</v>
      </c>
    </row>
    <row r="13" spans="1:18" x14ac:dyDescent="0.25">
      <c r="A13" s="35">
        <v>3</v>
      </c>
      <c r="B13" s="14" t="s">
        <v>17</v>
      </c>
      <c r="C13" s="25" t="s">
        <v>11</v>
      </c>
      <c r="D13" s="14" t="s">
        <v>18</v>
      </c>
      <c r="E13" s="50">
        <v>365</v>
      </c>
      <c r="F13" s="45" t="s">
        <v>13</v>
      </c>
      <c r="G13" s="45" t="s">
        <v>161</v>
      </c>
      <c r="H13" s="112">
        <v>46164</v>
      </c>
      <c r="I13" s="113">
        <f t="shared" si="0"/>
        <v>46529</v>
      </c>
      <c r="J13" s="47"/>
      <c r="M13" s="49"/>
    </row>
    <row r="14" spans="1:18" x14ac:dyDescent="0.25">
      <c r="A14" s="35">
        <v>4</v>
      </c>
      <c r="B14" s="14" t="s">
        <v>19</v>
      </c>
      <c r="C14" s="25" t="s">
        <v>11</v>
      </c>
      <c r="D14" s="14" t="s">
        <v>20</v>
      </c>
      <c r="E14" s="50">
        <v>365</v>
      </c>
      <c r="F14" s="45" t="s">
        <v>13</v>
      </c>
      <c r="G14" s="45" t="s">
        <v>161</v>
      </c>
      <c r="H14" s="112">
        <v>46157</v>
      </c>
      <c r="I14" s="113">
        <f t="shared" si="0"/>
        <v>46522</v>
      </c>
    </row>
    <row r="15" spans="1:18" x14ac:dyDescent="0.25">
      <c r="A15" s="35">
        <v>5</v>
      </c>
      <c r="B15" s="14" t="s">
        <v>21</v>
      </c>
      <c r="C15" s="25" t="s">
        <v>11</v>
      </c>
      <c r="D15" s="14" t="s">
        <v>22</v>
      </c>
      <c r="E15" s="50">
        <v>365</v>
      </c>
      <c r="F15" s="45" t="s">
        <v>13</v>
      </c>
      <c r="G15" s="45" t="s">
        <v>161</v>
      </c>
      <c r="H15" s="112">
        <v>46157</v>
      </c>
      <c r="I15" s="113">
        <f t="shared" si="0"/>
        <v>46522</v>
      </c>
    </row>
    <row r="16" spans="1:18" x14ac:dyDescent="0.25">
      <c r="A16" s="35">
        <v>6</v>
      </c>
      <c r="B16" s="14" t="s">
        <v>24</v>
      </c>
      <c r="C16" s="25" t="s">
        <v>11</v>
      </c>
      <c r="D16" s="14" t="s">
        <v>25</v>
      </c>
      <c r="E16" s="50">
        <v>365</v>
      </c>
      <c r="F16" s="45" t="s">
        <v>13</v>
      </c>
      <c r="G16" s="45"/>
      <c r="H16" s="112">
        <v>46164</v>
      </c>
      <c r="I16" s="113">
        <f t="shared" si="0"/>
        <v>46529</v>
      </c>
      <c r="J16" s="47"/>
      <c r="M16" s="49"/>
    </row>
    <row r="17" spans="1:9" x14ac:dyDescent="0.25">
      <c r="A17" s="35">
        <v>7</v>
      </c>
      <c r="B17" s="14" t="s">
        <v>26</v>
      </c>
      <c r="C17" s="25" t="s">
        <v>11</v>
      </c>
      <c r="D17" s="14" t="s">
        <v>12</v>
      </c>
      <c r="E17" s="50">
        <v>365</v>
      </c>
      <c r="F17" s="45" t="s">
        <v>13</v>
      </c>
      <c r="G17" s="45" t="s">
        <v>164</v>
      </c>
      <c r="H17" s="112">
        <v>46150</v>
      </c>
      <c r="I17" s="113">
        <f t="shared" si="0"/>
        <v>46515</v>
      </c>
    </row>
    <row r="18" spans="1:9" x14ac:dyDescent="0.25">
      <c r="A18" s="35">
        <v>8</v>
      </c>
      <c r="B18" s="14" t="s">
        <v>27</v>
      </c>
      <c r="C18" s="25" t="s">
        <v>11</v>
      </c>
      <c r="D18" s="14" t="s">
        <v>22</v>
      </c>
      <c r="E18" s="50">
        <f>365/4</f>
        <v>91.25</v>
      </c>
      <c r="F18" s="45" t="s">
        <v>13</v>
      </c>
      <c r="G18" s="45"/>
      <c r="H18" s="112">
        <v>46164</v>
      </c>
      <c r="I18" s="113">
        <f t="shared" si="0"/>
        <v>46255.25</v>
      </c>
    </row>
    <row r="19" spans="1:9" x14ac:dyDescent="0.25">
      <c r="A19" s="35">
        <v>9</v>
      </c>
      <c r="B19" s="14" t="s">
        <v>28</v>
      </c>
      <c r="C19" s="25" t="s">
        <v>11</v>
      </c>
      <c r="D19" s="14" t="s">
        <v>29</v>
      </c>
      <c r="E19" s="50">
        <f>365/4</f>
        <v>91.25</v>
      </c>
      <c r="F19" s="45" t="s">
        <v>13</v>
      </c>
      <c r="G19" s="45" t="s">
        <v>161</v>
      </c>
      <c r="H19" s="112">
        <v>46157</v>
      </c>
      <c r="I19" s="113">
        <f t="shared" si="0"/>
        <v>46248.25</v>
      </c>
    </row>
    <row r="20" spans="1:9" ht="20.25" x14ac:dyDescent="0.25">
      <c r="A20" s="35"/>
      <c r="B20" s="31" t="s">
        <v>30</v>
      </c>
      <c r="C20" s="25"/>
      <c r="D20" s="14"/>
      <c r="E20" s="50"/>
      <c r="F20" s="14"/>
      <c r="G20" s="14"/>
      <c r="H20" s="112"/>
    </row>
    <row r="21" spans="1:9" x14ac:dyDescent="0.25">
      <c r="A21" s="35">
        <v>1</v>
      </c>
      <c r="B21" s="14" t="s">
        <v>31</v>
      </c>
      <c r="C21" s="25" t="s">
        <v>11</v>
      </c>
      <c r="D21" s="14" t="s">
        <v>32</v>
      </c>
      <c r="E21" s="57">
        <f>365/2</f>
        <v>182.5</v>
      </c>
      <c r="F21" s="45" t="s">
        <v>16</v>
      </c>
      <c r="G21" s="45"/>
      <c r="H21" s="112">
        <v>46171</v>
      </c>
      <c r="I21" s="113">
        <f t="shared" ref="I21" si="1">H21+E21</f>
        <v>46353.5</v>
      </c>
    </row>
    <row r="22" spans="1:9" x14ac:dyDescent="0.25">
      <c r="A22" s="35">
        <v>2</v>
      </c>
      <c r="B22" s="14" t="s">
        <v>33</v>
      </c>
      <c r="C22" s="25" t="s">
        <v>11</v>
      </c>
      <c r="D22" s="14" t="s">
        <v>22</v>
      </c>
      <c r="E22" s="50">
        <f>365/2</f>
        <v>182.5</v>
      </c>
      <c r="F22" s="45" t="s">
        <v>16</v>
      </c>
      <c r="G22" s="45"/>
      <c r="H22" s="112">
        <v>46192</v>
      </c>
      <c r="I22" s="113">
        <f>H22+E22</f>
        <v>46374.5</v>
      </c>
    </row>
    <row r="23" spans="1:9" x14ac:dyDescent="0.25">
      <c r="A23" s="35">
        <v>3</v>
      </c>
      <c r="B23" s="14" t="s">
        <v>34</v>
      </c>
      <c r="C23" s="25" t="s">
        <v>11</v>
      </c>
      <c r="D23" s="14" t="s">
        <v>32</v>
      </c>
      <c r="E23" s="50">
        <f>365/2</f>
        <v>182.5</v>
      </c>
      <c r="F23" s="45" t="s">
        <v>16</v>
      </c>
      <c r="G23" s="45"/>
      <c r="H23" s="112">
        <v>46171</v>
      </c>
      <c r="I23" s="113">
        <f t="shared" ref="I23" si="2">H23+E23</f>
        <v>46353.5</v>
      </c>
    </row>
    <row r="24" spans="1:9" x14ac:dyDescent="0.25">
      <c r="A24" s="35">
        <v>4</v>
      </c>
      <c r="B24" s="14" t="s">
        <v>35</v>
      </c>
      <c r="C24" s="25" t="s">
        <v>11</v>
      </c>
      <c r="D24" s="14" t="s">
        <v>12</v>
      </c>
      <c r="E24" s="50">
        <v>60</v>
      </c>
      <c r="F24" s="14" t="s">
        <v>13</v>
      </c>
      <c r="G24" s="14" t="s">
        <v>161</v>
      </c>
      <c r="H24" s="112">
        <v>46157</v>
      </c>
      <c r="I24" s="113">
        <f>H24+E24</f>
        <v>46217</v>
      </c>
    </row>
    <row r="25" spans="1:9" x14ac:dyDescent="0.25">
      <c r="A25" s="35">
        <v>5</v>
      </c>
      <c r="B25" s="14" t="s">
        <v>36</v>
      </c>
      <c r="C25" s="25" t="s">
        <v>11</v>
      </c>
      <c r="D25" s="14" t="s">
        <v>18</v>
      </c>
      <c r="E25" s="50">
        <v>60</v>
      </c>
      <c r="F25" s="14" t="s">
        <v>13</v>
      </c>
      <c r="G25" s="14"/>
      <c r="H25" s="112">
        <v>46164</v>
      </c>
      <c r="I25" s="113">
        <f>H25+E25</f>
        <v>46224</v>
      </c>
    </row>
    <row r="26" spans="1:9" x14ac:dyDescent="0.25">
      <c r="A26" s="35">
        <v>6</v>
      </c>
      <c r="B26" s="14" t="s">
        <v>37</v>
      </c>
      <c r="C26" s="25" t="s">
        <v>11</v>
      </c>
      <c r="D26" s="14" t="s">
        <v>38</v>
      </c>
      <c r="E26" s="50">
        <f>365/2</f>
        <v>182.5</v>
      </c>
      <c r="F26" s="14" t="s">
        <v>16</v>
      </c>
      <c r="G26" s="14" t="s">
        <v>161</v>
      </c>
      <c r="H26" s="112">
        <v>46164</v>
      </c>
      <c r="I26" s="113">
        <f>H26+E26</f>
        <v>46346.5</v>
      </c>
    </row>
    <row r="27" spans="1:9" x14ac:dyDescent="0.25">
      <c r="A27" s="35">
        <v>7</v>
      </c>
      <c r="B27" s="14" t="s">
        <v>39</v>
      </c>
      <c r="C27" s="25" t="s">
        <v>11</v>
      </c>
      <c r="D27" s="14" t="s">
        <v>40</v>
      </c>
      <c r="E27" s="50">
        <v>365</v>
      </c>
      <c r="F27" s="14" t="s">
        <v>16</v>
      </c>
      <c r="G27" s="14"/>
      <c r="H27" s="112">
        <v>46213</v>
      </c>
      <c r="I27" s="113">
        <f t="shared" ref="I27" si="3">H27+E27</f>
        <v>46578</v>
      </c>
    </row>
    <row r="28" spans="1:9" x14ac:dyDescent="0.25">
      <c r="A28" s="35">
        <v>8</v>
      </c>
      <c r="B28" s="14" t="s">
        <v>41</v>
      </c>
      <c r="C28" s="25" t="s">
        <v>11</v>
      </c>
      <c r="D28" s="14" t="s">
        <v>32</v>
      </c>
      <c r="E28" s="50">
        <f>365/2</f>
        <v>182.5</v>
      </c>
      <c r="F28" s="14"/>
      <c r="G28" s="14"/>
      <c r="H28" s="112">
        <v>46171</v>
      </c>
      <c r="I28" s="113">
        <f t="shared" ref="I28:I29" si="4">H28+E28</f>
        <v>46353.5</v>
      </c>
    </row>
    <row r="29" spans="1:9" x14ac:dyDescent="0.25">
      <c r="A29" s="35">
        <v>9</v>
      </c>
      <c r="B29" s="14" t="s">
        <v>42</v>
      </c>
      <c r="C29" s="25" t="s">
        <v>11</v>
      </c>
      <c r="D29" s="14" t="s">
        <v>43</v>
      </c>
      <c r="E29" s="50">
        <v>365</v>
      </c>
      <c r="F29" s="14"/>
      <c r="G29" s="14"/>
      <c r="H29" s="112">
        <v>46171</v>
      </c>
      <c r="I29" s="113">
        <f t="shared" si="4"/>
        <v>46536</v>
      </c>
    </row>
    <row r="30" spans="1:9" x14ac:dyDescent="0.25">
      <c r="A30" s="35">
        <v>10</v>
      </c>
      <c r="B30" s="14" t="s">
        <v>44</v>
      </c>
      <c r="C30" s="25" t="s">
        <v>11</v>
      </c>
      <c r="D30" s="14" t="s">
        <v>32</v>
      </c>
      <c r="E30" s="50">
        <f t="shared" ref="E30:E41" si="5">365/2</f>
        <v>182.5</v>
      </c>
      <c r="F30" s="14" t="s">
        <v>16</v>
      </c>
      <c r="G30" s="14"/>
      <c r="H30" s="112">
        <v>46171</v>
      </c>
      <c r="I30" s="113">
        <f t="shared" ref="I30" si="6">H30+E30</f>
        <v>46353.5</v>
      </c>
    </row>
    <row r="31" spans="1:9" x14ac:dyDescent="0.25">
      <c r="A31" s="35">
        <v>11</v>
      </c>
      <c r="B31" s="14" t="s">
        <v>45</v>
      </c>
      <c r="C31" s="25" t="s">
        <v>11</v>
      </c>
      <c r="D31" s="14" t="s">
        <v>43</v>
      </c>
      <c r="E31" s="50">
        <f t="shared" si="5"/>
        <v>182.5</v>
      </c>
      <c r="F31" s="14" t="s">
        <v>16</v>
      </c>
      <c r="G31" s="14"/>
      <c r="H31" s="112">
        <v>46171</v>
      </c>
      <c r="I31" s="113">
        <f t="shared" ref="I31:I47" si="7">H31+E31</f>
        <v>46353.5</v>
      </c>
    </row>
    <row r="32" spans="1:9" x14ac:dyDescent="0.25">
      <c r="A32" s="35">
        <v>12</v>
      </c>
      <c r="B32" s="14" t="s">
        <v>46</v>
      </c>
      <c r="C32" s="25" t="s">
        <v>11</v>
      </c>
      <c r="D32" s="14" t="s">
        <v>18</v>
      </c>
      <c r="E32" s="50">
        <f t="shared" si="5"/>
        <v>182.5</v>
      </c>
      <c r="F32" s="14" t="s">
        <v>16</v>
      </c>
      <c r="G32" s="14" t="s">
        <v>161</v>
      </c>
      <c r="H32" s="112">
        <v>46148</v>
      </c>
      <c r="I32" s="113">
        <f>H32+E32</f>
        <v>46330.5</v>
      </c>
    </row>
    <row r="33" spans="1:9" x14ac:dyDescent="0.25">
      <c r="A33" s="35">
        <v>13</v>
      </c>
      <c r="B33" s="14" t="s">
        <v>47</v>
      </c>
      <c r="C33" s="25" t="s">
        <v>11</v>
      </c>
      <c r="D33" s="14" t="s">
        <v>32</v>
      </c>
      <c r="E33" s="50">
        <f t="shared" si="5"/>
        <v>182.5</v>
      </c>
      <c r="F33" s="14" t="s">
        <v>16</v>
      </c>
      <c r="G33" s="14"/>
      <c r="H33" s="112">
        <v>46171</v>
      </c>
      <c r="I33" s="113">
        <f t="shared" si="7"/>
        <v>46353.5</v>
      </c>
    </row>
    <row r="34" spans="1:9" x14ac:dyDescent="0.25">
      <c r="A34" s="35">
        <v>14</v>
      </c>
      <c r="B34" s="14" t="s">
        <v>165</v>
      </c>
      <c r="C34" s="25" t="s">
        <v>11</v>
      </c>
      <c r="D34" s="14" t="s">
        <v>49</v>
      </c>
      <c r="E34" s="50">
        <f t="shared" si="5"/>
        <v>182.5</v>
      </c>
      <c r="F34" s="14" t="s">
        <v>16</v>
      </c>
      <c r="G34" s="14" t="s">
        <v>162</v>
      </c>
      <c r="H34" s="112">
        <v>46157</v>
      </c>
      <c r="I34" s="113">
        <f t="shared" si="7"/>
        <v>46339.5</v>
      </c>
    </row>
    <row r="35" spans="1:9" x14ac:dyDescent="0.25">
      <c r="A35" s="35">
        <v>15</v>
      </c>
      <c r="B35" s="14" t="s">
        <v>50</v>
      </c>
      <c r="C35" s="25" t="s">
        <v>11</v>
      </c>
      <c r="D35" s="14" t="s">
        <v>163</v>
      </c>
      <c r="E35" s="50">
        <f t="shared" si="5"/>
        <v>182.5</v>
      </c>
      <c r="F35" s="14" t="s">
        <v>13</v>
      </c>
      <c r="G35" s="14"/>
      <c r="H35" s="112">
        <v>46164</v>
      </c>
      <c r="I35" s="113">
        <f t="shared" si="7"/>
        <v>46346.5</v>
      </c>
    </row>
    <row r="36" spans="1:9" x14ac:dyDescent="0.25">
      <c r="A36" s="35">
        <v>16</v>
      </c>
      <c r="B36" s="14" t="s">
        <v>52</v>
      </c>
      <c r="C36" s="25" t="s">
        <v>11</v>
      </c>
      <c r="D36" s="14" t="s">
        <v>163</v>
      </c>
      <c r="E36" s="50">
        <f t="shared" si="5"/>
        <v>182.5</v>
      </c>
      <c r="F36" s="14" t="s">
        <v>13</v>
      </c>
      <c r="G36" s="14"/>
      <c r="H36" s="112">
        <v>46164</v>
      </c>
      <c r="I36" s="113">
        <f t="shared" si="7"/>
        <v>46346.5</v>
      </c>
    </row>
    <row r="37" spans="1:9" x14ac:dyDescent="0.25">
      <c r="A37" s="35">
        <v>17</v>
      </c>
      <c r="B37" s="14" t="s">
        <v>53</v>
      </c>
      <c r="C37" s="25" t="s">
        <v>11</v>
      </c>
      <c r="D37" s="14" t="s">
        <v>163</v>
      </c>
      <c r="E37" s="50">
        <f t="shared" si="5"/>
        <v>182.5</v>
      </c>
      <c r="F37" s="14" t="s">
        <v>13</v>
      </c>
      <c r="G37" s="14"/>
      <c r="H37" s="112">
        <v>46164</v>
      </c>
      <c r="I37" s="113">
        <f t="shared" si="7"/>
        <v>46346.5</v>
      </c>
    </row>
    <row r="38" spans="1:9" x14ac:dyDescent="0.25">
      <c r="A38" s="35">
        <v>18</v>
      </c>
      <c r="B38" s="14" t="s">
        <v>54</v>
      </c>
      <c r="C38" s="25" t="s">
        <v>11</v>
      </c>
      <c r="D38" s="14" t="s">
        <v>25</v>
      </c>
      <c r="E38" s="50">
        <f t="shared" si="5"/>
        <v>182.5</v>
      </c>
      <c r="F38" s="14" t="s">
        <v>16</v>
      </c>
      <c r="G38" s="14"/>
      <c r="H38" s="112">
        <v>46164</v>
      </c>
      <c r="I38" s="113">
        <f t="shared" si="7"/>
        <v>46346.5</v>
      </c>
    </row>
    <row r="39" spans="1:9" x14ac:dyDescent="0.25">
      <c r="A39" s="35">
        <v>19</v>
      </c>
      <c r="B39" s="14" t="s">
        <v>55</v>
      </c>
      <c r="C39" s="25" t="s">
        <v>11</v>
      </c>
      <c r="D39" s="14" t="s">
        <v>20</v>
      </c>
      <c r="E39" s="50">
        <f t="shared" si="5"/>
        <v>182.5</v>
      </c>
      <c r="F39" s="14" t="s">
        <v>16</v>
      </c>
      <c r="G39" s="14"/>
      <c r="H39" s="112">
        <v>46171</v>
      </c>
      <c r="I39" s="113">
        <f t="shared" si="7"/>
        <v>46353.5</v>
      </c>
    </row>
    <row r="40" spans="1:9" x14ac:dyDescent="0.25">
      <c r="A40" s="35">
        <v>20</v>
      </c>
      <c r="B40" s="14" t="s">
        <v>56</v>
      </c>
      <c r="C40" s="25" t="s">
        <v>11</v>
      </c>
      <c r="D40" s="14" t="s">
        <v>49</v>
      </c>
      <c r="E40" s="50">
        <f t="shared" si="5"/>
        <v>182.5</v>
      </c>
      <c r="F40" s="14" t="s">
        <v>13</v>
      </c>
      <c r="G40" s="14" t="s">
        <v>162</v>
      </c>
      <c r="H40" s="112">
        <v>46157</v>
      </c>
      <c r="I40" s="113">
        <f t="shared" si="7"/>
        <v>46339.5</v>
      </c>
    </row>
    <row r="41" spans="1:9" x14ac:dyDescent="0.25">
      <c r="A41" s="35">
        <v>21</v>
      </c>
      <c r="B41" s="14" t="s">
        <v>57</v>
      </c>
      <c r="C41" s="25" t="s">
        <v>11</v>
      </c>
      <c r="D41" s="14" t="s">
        <v>58</v>
      </c>
      <c r="E41" s="50">
        <f t="shared" si="5"/>
        <v>182.5</v>
      </c>
      <c r="F41" s="14"/>
      <c r="G41" s="14"/>
      <c r="H41" s="112">
        <v>46171</v>
      </c>
      <c r="I41" s="113">
        <f t="shared" si="7"/>
        <v>46353.5</v>
      </c>
    </row>
    <row r="42" spans="1:9" x14ac:dyDescent="0.25">
      <c r="A42" s="35">
        <v>22</v>
      </c>
      <c r="B42" s="14" t="s">
        <v>156</v>
      </c>
      <c r="C42" s="25" t="s">
        <v>11</v>
      </c>
      <c r="D42" s="14" t="s">
        <v>38</v>
      </c>
      <c r="E42" s="50">
        <v>365</v>
      </c>
      <c r="F42" s="14" t="s">
        <v>16</v>
      </c>
      <c r="G42" s="14" t="s">
        <v>161</v>
      </c>
      <c r="H42" s="112">
        <v>46157</v>
      </c>
      <c r="I42" s="113">
        <f t="shared" si="7"/>
        <v>46522</v>
      </c>
    </row>
    <row r="43" spans="1:9" x14ac:dyDescent="0.25">
      <c r="A43" s="35">
        <v>23</v>
      </c>
      <c r="B43" s="14" t="s">
        <v>60</v>
      </c>
      <c r="C43" s="30" t="s">
        <v>11</v>
      </c>
      <c r="D43" s="14" t="s">
        <v>61</v>
      </c>
      <c r="E43" s="50">
        <f>365/4</f>
        <v>91.25</v>
      </c>
      <c r="F43" s="14" t="s">
        <v>13</v>
      </c>
      <c r="G43" s="14"/>
      <c r="H43" s="112">
        <v>46188</v>
      </c>
      <c r="I43" s="113">
        <f t="shared" si="7"/>
        <v>46279.25</v>
      </c>
    </row>
    <row r="44" spans="1:9" x14ac:dyDescent="0.25">
      <c r="A44" s="35">
        <v>24</v>
      </c>
      <c r="B44" s="14" t="s">
        <v>62</v>
      </c>
      <c r="C44" s="25" t="s">
        <v>11</v>
      </c>
      <c r="D44" s="14" t="s">
        <v>63</v>
      </c>
      <c r="E44" s="50">
        <f>365/2</f>
        <v>182.5</v>
      </c>
      <c r="F44" s="14" t="s">
        <v>16</v>
      </c>
      <c r="G44" s="14"/>
      <c r="H44" s="112">
        <v>46164</v>
      </c>
      <c r="I44" s="113">
        <f t="shared" si="7"/>
        <v>46346.5</v>
      </c>
    </row>
    <row r="45" spans="1:9" x14ac:dyDescent="0.25">
      <c r="A45" s="35">
        <v>25</v>
      </c>
      <c r="B45" s="14" t="s">
        <v>64</v>
      </c>
      <c r="C45" s="25" t="s">
        <v>11</v>
      </c>
      <c r="D45" s="14" t="s">
        <v>18</v>
      </c>
      <c r="E45" s="50">
        <v>365</v>
      </c>
      <c r="F45" s="14" t="s">
        <v>16</v>
      </c>
      <c r="G45" s="14"/>
      <c r="H45" s="112">
        <v>46164</v>
      </c>
      <c r="I45" s="113">
        <f t="shared" si="7"/>
        <v>46529</v>
      </c>
    </row>
    <row r="46" spans="1:9" x14ac:dyDescent="0.25">
      <c r="A46" s="35">
        <v>26</v>
      </c>
      <c r="B46" s="14" t="s">
        <v>65</v>
      </c>
      <c r="C46" s="30" t="s">
        <v>11</v>
      </c>
      <c r="D46" s="14" t="s">
        <v>49</v>
      </c>
      <c r="E46" s="50">
        <v>365</v>
      </c>
      <c r="F46" s="14" t="s">
        <v>16</v>
      </c>
      <c r="G46" s="14"/>
      <c r="H46" s="112">
        <v>46164</v>
      </c>
      <c r="I46" s="113">
        <f t="shared" si="7"/>
        <v>46529</v>
      </c>
    </row>
    <row r="47" spans="1:9" x14ac:dyDescent="0.25">
      <c r="A47" s="35">
        <v>27</v>
      </c>
      <c r="B47" s="14" t="s">
        <v>66</v>
      </c>
      <c r="C47" s="25" t="s">
        <v>11</v>
      </c>
      <c r="D47" s="14" t="s">
        <v>32</v>
      </c>
      <c r="E47" s="50">
        <v>365</v>
      </c>
      <c r="F47" s="14" t="s">
        <v>16</v>
      </c>
      <c r="G47" s="14"/>
      <c r="H47" s="112">
        <v>46171</v>
      </c>
      <c r="I47" s="113">
        <f t="shared" si="7"/>
        <v>46536</v>
      </c>
    </row>
    <row r="48" spans="1:9" x14ac:dyDescent="0.25">
      <c r="A48" s="35">
        <v>28</v>
      </c>
      <c r="B48" s="14" t="s">
        <v>67</v>
      </c>
      <c r="C48" s="25" t="s">
        <v>11</v>
      </c>
      <c r="D48" s="14" t="s">
        <v>163</v>
      </c>
      <c r="E48" s="50">
        <v>365</v>
      </c>
      <c r="F48" s="14"/>
      <c r="G48" s="14"/>
      <c r="H48" s="112">
        <v>46171</v>
      </c>
      <c r="I48" s="113">
        <f>H48+E48</f>
        <v>46536</v>
      </c>
    </row>
    <row r="49" spans="1:9" x14ac:dyDescent="0.25">
      <c r="A49" s="35">
        <v>29</v>
      </c>
      <c r="B49" s="14" t="s">
        <v>153</v>
      </c>
      <c r="C49" s="25" t="s">
        <v>11</v>
      </c>
      <c r="D49" s="14" t="s">
        <v>59</v>
      </c>
      <c r="E49" s="50">
        <f>365/2</f>
        <v>182.5</v>
      </c>
      <c r="F49" s="14"/>
      <c r="G49" s="14" t="s">
        <v>161</v>
      </c>
      <c r="H49" s="112">
        <v>46157</v>
      </c>
      <c r="I49" s="113">
        <f>H49+E49</f>
        <v>46339.5</v>
      </c>
    </row>
    <row r="50" spans="1:9" x14ac:dyDescent="0.25">
      <c r="A50" s="35">
        <v>30</v>
      </c>
      <c r="B50" s="14" t="s">
        <v>68</v>
      </c>
      <c r="C50" s="25" t="s">
        <v>11</v>
      </c>
      <c r="D50" s="14" t="s">
        <v>69</v>
      </c>
      <c r="E50" s="50">
        <f>365/2</f>
        <v>182.5</v>
      </c>
      <c r="F50" s="14"/>
      <c r="G50" s="14"/>
      <c r="H50" s="112">
        <v>46164</v>
      </c>
      <c r="I50" s="113">
        <f>H50+E50</f>
        <v>46346.5</v>
      </c>
    </row>
    <row r="51" spans="1:9" x14ac:dyDescent="0.25">
      <c r="A51" s="35">
        <v>31</v>
      </c>
      <c r="B51" s="14" t="s">
        <v>70</v>
      </c>
      <c r="C51" s="25" t="s">
        <v>11</v>
      </c>
      <c r="D51" s="14" t="s">
        <v>61</v>
      </c>
      <c r="E51" s="50">
        <f>365/2</f>
        <v>182.5</v>
      </c>
      <c r="F51" s="14"/>
      <c r="G51" s="14"/>
      <c r="H51" s="112">
        <v>46167</v>
      </c>
      <c r="I51" s="113">
        <f>H51+E51</f>
        <v>46349.5</v>
      </c>
    </row>
    <row r="52" spans="1:9" x14ac:dyDescent="0.25">
      <c r="A52" s="35">
        <v>32</v>
      </c>
      <c r="B52" s="14" t="s">
        <v>71</v>
      </c>
      <c r="C52" s="25" t="s">
        <v>11</v>
      </c>
      <c r="D52" s="14" t="s">
        <v>69</v>
      </c>
      <c r="E52" s="50">
        <f>365/2</f>
        <v>182.5</v>
      </c>
      <c r="F52" s="14" t="s">
        <v>154</v>
      </c>
      <c r="G52" s="14"/>
      <c r="H52" s="112"/>
      <c r="I52" s="113"/>
    </row>
    <row r="53" spans="1:9" x14ac:dyDescent="0.25">
      <c r="A53" s="35">
        <v>33</v>
      </c>
      <c r="B53" s="14" t="s">
        <v>72</v>
      </c>
      <c r="C53" s="25" t="s">
        <v>11</v>
      </c>
      <c r="D53" s="14" t="s">
        <v>25</v>
      </c>
      <c r="E53" s="50">
        <f>365/2</f>
        <v>182.5</v>
      </c>
      <c r="F53" s="14"/>
      <c r="G53" s="14"/>
      <c r="H53" s="112">
        <v>46164</v>
      </c>
      <c r="I53" s="113">
        <f>H53+E53</f>
        <v>46346.5</v>
      </c>
    </row>
    <row r="54" spans="1:9" x14ac:dyDescent="0.25">
      <c r="A54" s="35">
        <v>34</v>
      </c>
      <c r="B54" s="14" t="s">
        <v>73</v>
      </c>
      <c r="C54" s="25" t="s">
        <v>11</v>
      </c>
      <c r="D54" s="14" t="s">
        <v>38</v>
      </c>
      <c r="E54" s="50">
        <v>365</v>
      </c>
      <c r="F54" s="14"/>
      <c r="G54" s="14" t="s">
        <v>161</v>
      </c>
      <c r="H54" s="112">
        <v>46164</v>
      </c>
      <c r="I54" s="113">
        <f>H54+E54</f>
        <v>46529</v>
      </c>
    </row>
    <row r="55" spans="1:9" x14ac:dyDescent="0.25">
      <c r="A55" s="35">
        <v>35</v>
      </c>
      <c r="B55" s="14" t="s">
        <v>74</v>
      </c>
      <c r="C55" s="30" t="s">
        <v>11</v>
      </c>
      <c r="D55" s="14" t="s">
        <v>63</v>
      </c>
      <c r="E55" s="50">
        <v>365</v>
      </c>
      <c r="F55" s="14"/>
      <c r="G55" s="14"/>
      <c r="H55" s="112">
        <v>46164</v>
      </c>
      <c r="I55" s="113">
        <f>H55+E55</f>
        <v>46529</v>
      </c>
    </row>
    <row r="56" spans="1:9" x14ac:dyDescent="0.25">
      <c r="A56" s="35">
        <v>36</v>
      </c>
      <c r="B56" s="14" t="s">
        <v>75</v>
      </c>
      <c r="C56" s="25" t="s">
        <v>11</v>
      </c>
      <c r="D56" s="14" t="s">
        <v>163</v>
      </c>
      <c r="E56" s="50">
        <f>365/4</f>
        <v>91.25</v>
      </c>
      <c r="F56" s="14" t="s">
        <v>151</v>
      </c>
      <c r="G56" s="14"/>
      <c r="H56" s="113">
        <v>46164</v>
      </c>
      <c r="I56" s="113">
        <f>H56+E56</f>
        <v>46255.25</v>
      </c>
    </row>
    <row r="57" spans="1:9" x14ac:dyDescent="0.25">
      <c r="A57" s="35">
        <v>37</v>
      </c>
      <c r="B57" s="14" t="s">
        <v>76</v>
      </c>
      <c r="C57" s="25" t="s">
        <v>11</v>
      </c>
      <c r="D57" s="14" t="s">
        <v>77</v>
      </c>
      <c r="E57" s="50">
        <v>365</v>
      </c>
      <c r="F57" s="14"/>
      <c r="G57" s="14" t="s">
        <v>161</v>
      </c>
      <c r="H57" s="112">
        <v>46156</v>
      </c>
      <c r="I57" s="113">
        <f>H57+E57</f>
        <v>46521</v>
      </c>
    </row>
    <row r="58" spans="1:9" x14ac:dyDescent="0.25">
      <c r="A58" s="35">
        <v>38</v>
      </c>
      <c r="B58" s="14" t="s">
        <v>78</v>
      </c>
      <c r="C58" s="25" t="s">
        <v>11</v>
      </c>
      <c r="D58" s="14" t="s">
        <v>43</v>
      </c>
      <c r="E58" s="50">
        <f>365/2</f>
        <v>182.5</v>
      </c>
      <c r="F58" s="14"/>
      <c r="G58" s="14"/>
      <c r="H58" s="112">
        <v>46171</v>
      </c>
      <c r="I58" s="113">
        <f t="shared" ref="I58" si="8">H58+E58</f>
        <v>46353.5</v>
      </c>
    </row>
    <row r="59" spans="1:9" x14ac:dyDescent="0.25">
      <c r="A59" s="35">
        <v>39</v>
      </c>
      <c r="B59" s="14" t="s">
        <v>79</v>
      </c>
      <c r="C59" s="30" t="s">
        <v>11</v>
      </c>
      <c r="D59" s="14" t="s">
        <v>18</v>
      </c>
      <c r="E59" s="50">
        <v>365</v>
      </c>
      <c r="F59" s="14"/>
      <c r="G59" s="14"/>
      <c r="H59" s="112">
        <v>46164</v>
      </c>
      <c r="I59" s="113">
        <f>H59+E59</f>
        <v>46529</v>
      </c>
    </row>
    <row r="60" spans="1:9" x14ac:dyDescent="0.25">
      <c r="A60" s="35">
        <v>40</v>
      </c>
      <c r="B60" s="14" t="s">
        <v>80</v>
      </c>
      <c r="C60" s="25" t="s">
        <v>11</v>
      </c>
      <c r="D60" s="14" t="s">
        <v>20</v>
      </c>
      <c r="E60" s="50">
        <f>365/2</f>
        <v>182.5</v>
      </c>
      <c r="F60" s="14"/>
      <c r="G60" s="45" t="s">
        <v>161</v>
      </c>
      <c r="H60" s="112">
        <v>46164</v>
      </c>
      <c r="I60" s="113">
        <f>H60+E60</f>
        <v>46346.5</v>
      </c>
    </row>
    <row r="61" spans="1:9" x14ac:dyDescent="0.25">
      <c r="A61" s="35">
        <v>42</v>
      </c>
      <c r="B61" s="14" t="s">
        <v>83</v>
      </c>
      <c r="C61" s="25" t="s">
        <v>11</v>
      </c>
      <c r="D61" s="14" t="s">
        <v>63</v>
      </c>
      <c r="E61" s="50">
        <v>365</v>
      </c>
      <c r="F61" s="14"/>
      <c r="G61" s="14"/>
      <c r="H61" s="112">
        <v>46164</v>
      </c>
      <c r="I61" s="113">
        <f t="shared" ref="I61:I67" si="9">H61+E61</f>
        <v>46529</v>
      </c>
    </row>
    <row r="62" spans="1:9" x14ac:dyDescent="0.25">
      <c r="A62" s="35">
        <v>43</v>
      </c>
      <c r="B62" s="14" t="s">
        <v>84</v>
      </c>
      <c r="C62" s="25" t="s">
        <v>11</v>
      </c>
      <c r="D62" s="14" t="s">
        <v>85</v>
      </c>
      <c r="E62" s="50">
        <v>365</v>
      </c>
      <c r="F62" s="14"/>
      <c r="G62" s="14" t="s">
        <v>161</v>
      </c>
      <c r="H62" s="112">
        <v>46150</v>
      </c>
      <c r="I62" s="113">
        <f t="shared" si="9"/>
        <v>46515</v>
      </c>
    </row>
    <row r="63" spans="1:9" x14ac:dyDescent="0.25">
      <c r="A63" s="35">
        <v>44</v>
      </c>
      <c r="B63" s="14" t="s">
        <v>86</v>
      </c>
      <c r="C63" s="25" t="s">
        <v>11</v>
      </c>
      <c r="D63" s="14" t="s">
        <v>22</v>
      </c>
      <c r="E63" s="50">
        <f t="shared" ref="E63:E69" si="10">365/2</f>
        <v>182.5</v>
      </c>
      <c r="F63" s="14"/>
      <c r="G63" s="14"/>
      <c r="H63" s="112">
        <v>46164</v>
      </c>
      <c r="I63" s="113">
        <f t="shared" si="9"/>
        <v>46346.5</v>
      </c>
    </row>
    <row r="64" spans="1:9" x14ac:dyDescent="0.25">
      <c r="A64" s="35">
        <v>45</v>
      </c>
      <c r="B64" s="14" t="s">
        <v>87</v>
      </c>
      <c r="C64" s="25" t="s">
        <v>11</v>
      </c>
      <c r="D64" s="14" t="s">
        <v>63</v>
      </c>
      <c r="E64" s="50">
        <f t="shared" si="10"/>
        <v>182.5</v>
      </c>
      <c r="F64" s="14"/>
      <c r="G64" s="14"/>
      <c r="H64" s="112">
        <v>46164</v>
      </c>
      <c r="I64" s="113">
        <f t="shared" si="9"/>
        <v>46346.5</v>
      </c>
    </row>
    <row r="65" spans="1:317" x14ac:dyDescent="0.25">
      <c r="A65" s="35">
        <v>46</v>
      </c>
      <c r="B65" s="14" t="s">
        <v>88</v>
      </c>
      <c r="C65" s="25" t="s">
        <v>11</v>
      </c>
      <c r="D65" s="14" t="s">
        <v>38</v>
      </c>
      <c r="E65" s="50">
        <f t="shared" si="10"/>
        <v>182.5</v>
      </c>
      <c r="F65" s="14"/>
      <c r="G65" s="14" t="s">
        <v>161</v>
      </c>
      <c r="H65" s="112">
        <v>46164</v>
      </c>
      <c r="I65" s="113">
        <f t="shared" si="9"/>
        <v>46346.5</v>
      </c>
    </row>
    <row r="66" spans="1:317" x14ac:dyDescent="0.25">
      <c r="A66" s="35">
        <v>47</v>
      </c>
      <c r="B66" s="14" t="s">
        <v>89</v>
      </c>
      <c r="C66" s="25" t="s">
        <v>11</v>
      </c>
      <c r="D66" s="14" t="s">
        <v>58</v>
      </c>
      <c r="E66" s="50">
        <f t="shared" si="10"/>
        <v>182.5</v>
      </c>
      <c r="F66" s="14"/>
      <c r="G66" s="14" t="s">
        <v>161</v>
      </c>
      <c r="H66" s="112">
        <v>46164</v>
      </c>
      <c r="I66" s="113">
        <f t="shared" si="9"/>
        <v>46346.5</v>
      </c>
    </row>
    <row r="67" spans="1:317" x14ac:dyDescent="0.25">
      <c r="A67" s="35">
        <v>48</v>
      </c>
      <c r="B67" s="14" t="s">
        <v>90</v>
      </c>
      <c r="C67" s="25" t="s">
        <v>11</v>
      </c>
      <c r="D67" s="14" t="s">
        <v>43</v>
      </c>
      <c r="E67" s="50">
        <f t="shared" si="10"/>
        <v>182.5</v>
      </c>
      <c r="F67" s="14"/>
      <c r="G67" s="14"/>
      <c r="H67" s="112">
        <v>46171</v>
      </c>
      <c r="I67" s="113">
        <f t="shared" si="9"/>
        <v>46353.5</v>
      </c>
    </row>
    <row r="68" spans="1:317" x14ac:dyDescent="0.25">
      <c r="A68" s="35">
        <v>49</v>
      </c>
      <c r="B68" s="14" t="s">
        <v>91</v>
      </c>
      <c r="C68" s="25" t="s">
        <v>11</v>
      </c>
      <c r="D68" s="14" t="s">
        <v>22</v>
      </c>
      <c r="E68" s="50">
        <f t="shared" si="10"/>
        <v>182.5</v>
      </c>
      <c r="F68" s="14"/>
      <c r="G68" s="14"/>
      <c r="H68" s="112">
        <v>46192</v>
      </c>
      <c r="I68" s="113">
        <f>H68+E68</f>
        <v>46374.5</v>
      </c>
      <c r="J68" s="13" t="s">
        <v>92</v>
      </c>
    </row>
    <row r="69" spans="1:317" x14ac:dyDescent="0.25">
      <c r="A69" s="35">
        <v>50</v>
      </c>
      <c r="B69" s="14" t="s">
        <v>93</v>
      </c>
      <c r="C69" s="25" t="s">
        <v>11</v>
      </c>
      <c r="D69" s="14" t="s">
        <v>25</v>
      </c>
      <c r="E69" s="50">
        <f t="shared" si="10"/>
        <v>182.5</v>
      </c>
      <c r="F69" s="14"/>
      <c r="G69" s="14"/>
      <c r="H69" s="112">
        <v>46164</v>
      </c>
      <c r="I69" s="113">
        <f>H69+E69</f>
        <v>46346.5</v>
      </c>
    </row>
    <row r="70" spans="1:317" x14ac:dyDescent="0.25">
      <c r="A70" s="35">
        <v>51</v>
      </c>
      <c r="B70" s="14" t="s">
        <v>94</v>
      </c>
      <c r="C70" s="25" t="s">
        <v>11</v>
      </c>
      <c r="D70" s="14" t="s">
        <v>20</v>
      </c>
      <c r="E70" s="50">
        <v>30</v>
      </c>
      <c r="F70" s="14"/>
      <c r="G70" s="14" t="s">
        <v>161</v>
      </c>
      <c r="H70" s="112">
        <v>46164</v>
      </c>
      <c r="I70" s="113">
        <f>H70+E70</f>
        <v>46194</v>
      </c>
    </row>
    <row r="71" spans="1:317" x14ac:dyDescent="0.25">
      <c r="A71" s="35">
        <v>52</v>
      </c>
      <c r="B71" s="14" t="s">
        <v>95</v>
      </c>
      <c r="C71" s="25" t="s">
        <v>11</v>
      </c>
      <c r="D71" s="14" t="s">
        <v>18</v>
      </c>
      <c r="E71" s="50">
        <f>365/2</f>
        <v>182.5</v>
      </c>
      <c r="F71" s="14"/>
      <c r="G71" s="14"/>
      <c r="H71" s="112">
        <v>46164</v>
      </c>
      <c r="I71" s="113">
        <f>H71+E71</f>
        <v>46346.5</v>
      </c>
    </row>
    <row r="72" spans="1:317" x14ac:dyDescent="0.25">
      <c r="A72" s="35">
        <v>53</v>
      </c>
      <c r="B72" s="14" t="s">
        <v>96</v>
      </c>
      <c r="C72" s="25" t="s">
        <v>11</v>
      </c>
      <c r="D72" s="14" t="s">
        <v>97</v>
      </c>
      <c r="E72" s="50">
        <f>365/2</f>
        <v>182.5</v>
      </c>
      <c r="F72" s="14"/>
      <c r="G72" s="14" t="s">
        <v>161</v>
      </c>
      <c r="H72" s="112">
        <v>46156</v>
      </c>
      <c r="I72" s="113">
        <f>H72+E72</f>
        <v>46338.5</v>
      </c>
    </row>
    <row r="73" spans="1:317" x14ac:dyDescent="0.25">
      <c r="A73" s="35">
        <v>54</v>
      </c>
      <c r="B73" s="98" t="s">
        <v>100</v>
      </c>
      <c r="C73" s="30"/>
      <c r="D73" s="98" t="s">
        <v>77</v>
      </c>
      <c r="E73" s="55">
        <v>365</v>
      </c>
      <c r="F73" s="98"/>
      <c r="G73" s="98"/>
      <c r="H73" s="114">
        <v>46171</v>
      </c>
      <c r="I73" s="125" t="s">
        <v>166</v>
      </c>
    </row>
    <row r="74" spans="1:317" x14ac:dyDescent="0.25">
      <c r="A74" s="35">
        <v>55</v>
      </c>
      <c r="B74" s="14" t="s">
        <v>101</v>
      </c>
      <c r="C74" s="25" t="s">
        <v>11</v>
      </c>
      <c r="D74" s="14" t="s">
        <v>163</v>
      </c>
      <c r="E74" s="50">
        <f>365/2</f>
        <v>182.5</v>
      </c>
      <c r="F74" s="14"/>
      <c r="G74" s="14"/>
      <c r="H74" s="112">
        <v>46171</v>
      </c>
      <c r="I74" s="113">
        <f>H74+E74</f>
        <v>46353.5</v>
      </c>
    </row>
    <row r="75" spans="1:317" x14ac:dyDescent="0.25">
      <c r="A75" s="35">
        <v>56</v>
      </c>
      <c r="B75" s="14" t="s">
        <v>102</v>
      </c>
      <c r="C75" s="25" t="s">
        <v>11</v>
      </c>
      <c r="D75" s="14" t="s">
        <v>20</v>
      </c>
      <c r="E75" s="50">
        <v>365</v>
      </c>
      <c r="F75" s="14"/>
      <c r="G75" s="14" t="s">
        <v>161</v>
      </c>
      <c r="H75" s="112">
        <v>46157</v>
      </c>
      <c r="I75" s="113">
        <f>H75+E75</f>
        <v>46522</v>
      </c>
    </row>
    <row r="76" spans="1:317" x14ac:dyDescent="0.25">
      <c r="A76" s="35">
        <v>57</v>
      </c>
      <c r="B76" s="14" t="s">
        <v>103</v>
      </c>
      <c r="C76" s="25" t="s">
        <v>11</v>
      </c>
      <c r="D76" s="14" t="s">
        <v>32</v>
      </c>
      <c r="E76" s="50">
        <v>365</v>
      </c>
      <c r="F76" s="14"/>
      <c r="G76" s="14"/>
      <c r="H76" s="112">
        <v>46171</v>
      </c>
      <c r="I76" s="113">
        <f t="shared" ref="I76" si="11">H76+E76</f>
        <v>46536</v>
      </c>
    </row>
    <row r="77" spans="1:317" x14ac:dyDescent="0.25">
      <c r="A77" s="35">
        <v>58</v>
      </c>
      <c r="B77" s="14" t="s">
        <v>104</v>
      </c>
      <c r="C77" s="25" t="s">
        <v>11</v>
      </c>
      <c r="D77" s="14" t="s">
        <v>105</v>
      </c>
      <c r="E77" s="50">
        <f>365/2</f>
        <v>182.5</v>
      </c>
      <c r="F77" s="14"/>
      <c r="G77" s="14"/>
      <c r="H77" s="112">
        <v>46160</v>
      </c>
      <c r="I77" s="113">
        <f>H77+E77</f>
        <v>46342.5</v>
      </c>
    </row>
    <row r="78" spans="1:317" s="17" customFormat="1" ht="60" x14ac:dyDescent="0.25">
      <c r="A78" s="35">
        <v>59</v>
      </c>
      <c r="B78" s="94" t="s">
        <v>106</v>
      </c>
      <c r="C78" s="95" t="s">
        <v>11</v>
      </c>
      <c r="D78" s="94" t="s">
        <v>69</v>
      </c>
      <c r="E78" s="96">
        <f>365/2</f>
        <v>182.5</v>
      </c>
      <c r="F78" s="97" t="s">
        <v>155</v>
      </c>
      <c r="G78" s="97"/>
      <c r="H78" s="115" t="s">
        <v>158</v>
      </c>
      <c r="I78" s="126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</row>
    <row r="79" spans="1:317" s="17" customFormat="1" x14ac:dyDescent="0.25">
      <c r="A79" s="35">
        <v>60</v>
      </c>
      <c r="B79" s="14" t="s">
        <v>107</v>
      </c>
      <c r="C79" s="25" t="s">
        <v>11</v>
      </c>
      <c r="D79" s="14" t="s">
        <v>105</v>
      </c>
      <c r="E79" s="50">
        <f>365/2</f>
        <v>182.5</v>
      </c>
      <c r="G79" s="14" t="s">
        <v>161</v>
      </c>
      <c r="H79" s="116">
        <v>46157</v>
      </c>
      <c r="I79" s="113">
        <f>H79+E79</f>
        <v>46339.5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</row>
    <row r="80" spans="1:317" s="17" customFormat="1" x14ac:dyDescent="0.25">
      <c r="A80" s="35">
        <v>61</v>
      </c>
      <c r="B80" s="14" t="s">
        <v>108</v>
      </c>
      <c r="C80" s="25" t="s">
        <v>11</v>
      </c>
      <c r="D80" s="14" t="s">
        <v>38</v>
      </c>
      <c r="E80" s="50">
        <f>365/2</f>
        <v>182.5</v>
      </c>
      <c r="F80" s="14"/>
      <c r="G80" s="14" t="s">
        <v>161</v>
      </c>
      <c r="H80" s="113">
        <v>46164</v>
      </c>
      <c r="I80" s="113">
        <f>H80+E80</f>
        <v>46346.5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</row>
    <row r="81" spans="1:9" x14ac:dyDescent="0.25">
      <c r="A81" s="35">
        <v>62</v>
      </c>
      <c r="B81" s="94" t="s">
        <v>109</v>
      </c>
      <c r="C81" s="95" t="s">
        <v>11</v>
      </c>
      <c r="D81" s="94" t="s">
        <v>49</v>
      </c>
      <c r="E81" s="96">
        <f>365/2</f>
        <v>182.5</v>
      </c>
      <c r="F81" s="94" t="s">
        <v>159</v>
      </c>
      <c r="G81" s="94"/>
      <c r="H81" s="117" t="s">
        <v>158</v>
      </c>
      <c r="I81" s="126"/>
    </row>
    <row r="82" spans="1:9" x14ac:dyDescent="0.25">
      <c r="A82" s="35">
        <v>63</v>
      </c>
      <c r="B82" s="14" t="s">
        <v>110</v>
      </c>
      <c r="C82" s="25" t="s">
        <v>11</v>
      </c>
      <c r="D82" s="14" t="s">
        <v>22</v>
      </c>
      <c r="E82" s="50">
        <v>365</v>
      </c>
      <c r="F82" s="14"/>
      <c r="G82" s="14"/>
      <c r="H82" s="116">
        <v>46164</v>
      </c>
      <c r="I82" s="113">
        <f>H82+E82</f>
        <v>46529</v>
      </c>
    </row>
    <row r="83" spans="1:9" x14ac:dyDescent="0.25">
      <c r="A83" s="35">
        <v>64</v>
      </c>
      <c r="B83" s="56" t="s">
        <v>111</v>
      </c>
      <c r="C83" s="30" t="s">
        <v>11</v>
      </c>
      <c r="D83" s="56" t="s">
        <v>99</v>
      </c>
      <c r="E83" s="99">
        <f>365/4</f>
        <v>91.25</v>
      </c>
      <c r="F83" s="56"/>
      <c r="G83" s="56" t="s">
        <v>161</v>
      </c>
      <c r="H83" s="118">
        <v>46164</v>
      </c>
      <c r="I83" s="113">
        <f t="shared" ref="I83:I84" si="12">H83+E83</f>
        <v>46255.25</v>
      </c>
    </row>
    <row r="84" spans="1:9" x14ac:dyDescent="0.25">
      <c r="A84" s="35">
        <v>65</v>
      </c>
      <c r="B84" s="56" t="s">
        <v>112</v>
      </c>
      <c r="C84" s="30" t="s">
        <v>11</v>
      </c>
      <c r="D84" s="56" t="s">
        <v>99</v>
      </c>
      <c r="E84" s="99">
        <v>365</v>
      </c>
      <c r="F84" s="56"/>
      <c r="G84" s="56" t="s">
        <v>161</v>
      </c>
      <c r="H84" s="118">
        <v>46164</v>
      </c>
      <c r="I84" s="113">
        <f t="shared" si="12"/>
        <v>46529</v>
      </c>
    </row>
    <row r="85" spans="1:9" x14ac:dyDescent="0.25">
      <c r="A85" s="35">
        <v>66</v>
      </c>
      <c r="B85" s="14" t="s">
        <v>143</v>
      </c>
      <c r="C85" s="25" t="s">
        <v>11</v>
      </c>
      <c r="D85" s="14" t="s">
        <v>18</v>
      </c>
      <c r="E85" s="50">
        <f>365/2</f>
        <v>182.5</v>
      </c>
      <c r="F85" s="14"/>
      <c r="G85" s="14"/>
      <c r="H85" s="116">
        <v>46164</v>
      </c>
      <c r="I85" s="113">
        <f>H85+E85</f>
        <v>46346.5</v>
      </c>
    </row>
    <row r="86" spans="1:9" x14ac:dyDescent="0.25">
      <c r="A86" s="35">
        <v>67</v>
      </c>
      <c r="B86" s="14" t="s">
        <v>144</v>
      </c>
      <c r="C86" s="25" t="s">
        <v>11</v>
      </c>
      <c r="D86" s="14" t="s">
        <v>22</v>
      </c>
      <c r="E86" s="50">
        <v>365</v>
      </c>
      <c r="F86" s="14"/>
      <c r="G86" s="14"/>
      <c r="H86" s="119">
        <v>46185</v>
      </c>
      <c r="I86" s="113">
        <f>H86+E86</f>
        <v>46550</v>
      </c>
    </row>
    <row r="87" spans="1:9" x14ac:dyDescent="0.25">
      <c r="A87" s="35">
        <v>68</v>
      </c>
      <c r="B87" s="14" t="s">
        <v>145</v>
      </c>
      <c r="C87" s="25" t="s">
        <v>11</v>
      </c>
      <c r="D87" s="14" t="s">
        <v>22</v>
      </c>
      <c r="E87" s="50">
        <v>365</v>
      </c>
      <c r="F87" s="14" t="s">
        <v>146</v>
      </c>
      <c r="G87" s="14"/>
      <c r="H87" s="119">
        <v>46185</v>
      </c>
      <c r="I87" s="113">
        <f>H87+E87</f>
        <v>46550</v>
      </c>
    </row>
    <row r="88" spans="1:9" x14ac:dyDescent="0.25">
      <c r="A88" s="35">
        <v>69</v>
      </c>
      <c r="B88" s="98" t="s">
        <v>147</v>
      </c>
      <c r="C88" s="30" t="s">
        <v>11</v>
      </c>
      <c r="D88" s="98" t="s">
        <v>58</v>
      </c>
      <c r="E88" s="55">
        <v>365</v>
      </c>
      <c r="F88" s="98"/>
      <c r="G88" s="98"/>
      <c r="H88" s="118">
        <v>46171</v>
      </c>
      <c r="I88" s="113">
        <f t="shared" ref="I88" si="13">H88+E88</f>
        <v>46536</v>
      </c>
    </row>
    <row r="89" spans="1:9" x14ac:dyDescent="0.25">
      <c r="A89" s="35">
        <v>70</v>
      </c>
      <c r="B89" s="14" t="s">
        <v>148</v>
      </c>
      <c r="C89" s="25" t="s">
        <v>11</v>
      </c>
      <c r="D89" s="14" t="s">
        <v>77</v>
      </c>
      <c r="E89" s="14">
        <v>365</v>
      </c>
      <c r="F89" s="14"/>
      <c r="G89" s="14" t="s">
        <v>161</v>
      </c>
      <c r="H89" s="113">
        <v>46156</v>
      </c>
      <c r="I89" s="113">
        <f>H89+E89</f>
        <v>46521</v>
      </c>
    </row>
    <row r="90" spans="1:9" x14ac:dyDescent="0.25">
      <c r="A90" s="35">
        <v>71</v>
      </c>
      <c r="B90" s="14" t="s">
        <v>149</v>
      </c>
      <c r="C90" s="25" t="s">
        <v>11</v>
      </c>
      <c r="D90" s="14" t="s">
        <v>77</v>
      </c>
      <c r="E90" s="14">
        <v>365</v>
      </c>
      <c r="F90" s="14"/>
      <c r="G90" s="14" t="s">
        <v>161</v>
      </c>
      <c r="H90" s="113">
        <v>46156</v>
      </c>
      <c r="I90" s="113">
        <f>H90+E90</f>
        <v>46521</v>
      </c>
    </row>
    <row r="91" spans="1:9" x14ac:dyDescent="0.25">
      <c r="A91" s="35">
        <v>72</v>
      </c>
      <c r="B91" s="20" t="s">
        <v>150</v>
      </c>
      <c r="C91" s="25" t="s">
        <v>11</v>
      </c>
      <c r="D91" s="14" t="s">
        <v>77</v>
      </c>
      <c r="E91" s="14">
        <v>365</v>
      </c>
      <c r="F91" s="14"/>
      <c r="G91" s="14" t="s">
        <v>161</v>
      </c>
      <c r="H91" s="113">
        <v>46156</v>
      </c>
      <c r="I91" s="113">
        <f>H91+E91</f>
        <v>46521</v>
      </c>
    </row>
    <row r="92" spans="1:9" x14ac:dyDescent="0.25">
      <c r="A92" s="35">
        <v>73</v>
      </c>
      <c r="B92" s="37" t="s">
        <v>152</v>
      </c>
      <c r="C92" s="82" t="s">
        <v>11</v>
      </c>
      <c r="D92" s="37" t="s">
        <v>77</v>
      </c>
      <c r="E92" s="37">
        <v>365</v>
      </c>
      <c r="F92" s="37"/>
      <c r="G92" s="37" t="s">
        <v>161</v>
      </c>
      <c r="H92" s="120">
        <v>46156</v>
      </c>
      <c r="I92" s="120">
        <f>H92+E92</f>
        <v>46521</v>
      </c>
    </row>
    <row r="93" spans="1:9" x14ac:dyDescent="0.25">
      <c r="A93" s="35">
        <v>74</v>
      </c>
      <c r="B93" s="20" t="s">
        <v>160</v>
      </c>
      <c r="C93" s="25" t="s">
        <v>11</v>
      </c>
      <c r="D93" s="14" t="s">
        <v>77</v>
      </c>
      <c r="E93" s="100">
        <v>365</v>
      </c>
      <c r="F93" s="14"/>
      <c r="G93" s="45" t="s">
        <v>161</v>
      </c>
      <c r="H93" s="119">
        <v>46171</v>
      </c>
      <c r="I93" s="113">
        <f>H93+E93</f>
        <v>46536</v>
      </c>
    </row>
    <row r="94" spans="1:9" x14ac:dyDescent="0.25">
      <c r="B94" s="81"/>
      <c r="C94" s="36"/>
      <c r="I94" s="121"/>
    </row>
    <row r="95" spans="1:9" x14ac:dyDescent="0.25">
      <c r="I95" s="121"/>
    </row>
    <row r="96" spans="1:9" x14ac:dyDescent="0.25">
      <c r="I96" s="121"/>
    </row>
    <row r="97" spans="1:9" ht="15.75" x14ac:dyDescent="0.25">
      <c r="A97" s="27" t="s">
        <v>113</v>
      </c>
      <c r="B97" s="28" t="s">
        <v>114</v>
      </c>
      <c r="I97" s="121"/>
    </row>
    <row r="98" spans="1:9" ht="15.75" x14ac:dyDescent="0.25">
      <c r="A98" s="27" t="s">
        <v>115</v>
      </c>
      <c r="B98" s="28" t="s">
        <v>116</v>
      </c>
      <c r="I98" s="121"/>
    </row>
    <row r="99" spans="1:9" x14ac:dyDescent="0.25">
      <c r="A99" s="26"/>
      <c r="I99" s="121"/>
    </row>
  </sheetData>
  <autoFilter ref="A7:I93" xr:uid="{3C2DD3F0-61EB-4766-A44E-A21AFDD747EA}"/>
  <mergeCells count="4">
    <mergeCell ref="B2:B4"/>
    <mergeCell ref="C2:D2"/>
    <mergeCell ref="C3:D3"/>
    <mergeCell ref="H8:I8"/>
  </mergeCells>
  <conditionalFormatting sqref="I11:I19 I21:I72 I74:I93">
    <cfRule type="expression" dxfId="21" priority="74">
      <formula>_xlfn.DAYS(I11,TODAY())&lt;E11/10</formula>
    </cfRule>
  </conditionalFormatting>
  <conditionalFormatting sqref="I12:I19">
    <cfRule type="expression" dxfId="20" priority="21">
      <formula>"+$L$20&lt;(E20/10)"</formula>
    </cfRule>
    <cfRule type="expression" dxfId="19" priority="22">
      <formula>$I$16&lt;TODAY()</formula>
    </cfRule>
  </conditionalFormatting>
  <conditionalFormatting sqref="I21:I51">
    <cfRule type="expression" dxfId="18" priority="15">
      <formula>"+$L$20&lt;(E20/10)"</formula>
    </cfRule>
    <cfRule type="expression" dxfId="17" priority="16">
      <formula>$I$16&lt;TODAY()</formula>
    </cfRule>
  </conditionalFormatting>
  <conditionalFormatting sqref="I53:I72">
    <cfRule type="expression" dxfId="16" priority="11">
      <formula>"+$L$20&lt;(E20/10)"</formula>
    </cfRule>
    <cfRule type="expression" dxfId="15" priority="12">
      <formula>$I$16&lt;TODAY()</formula>
    </cfRule>
  </conditionalFormatting>
  <conditionalFormatting sqref="I74:I77">
    <cfRule type="expression" dxfId="14" priority="33">
      <formula>"+$L$20&lt;(E20/10)"</formula>
    </cfRule>
    <cfRule type="expression" dxfId="13" priority="34">
      <formula>$I$16&lt;TODAY()</formula>
    </cfRule>
  </conditionalFormatting>
  <conditionalFormatting sqref="I74:I93 I11:I19 I21:I72">
    <cfRule type="expression" dxfId="12" priority="73" stopIfTrue="1">
      <formula>I11&lt;TODAY()</formula>
    </cfRule>
  </conditionalFormatting>
  <conditionalFormatting sqref="I79:I80">
    <cfRule type="expression" dxfId="11" priority="43">
      <formula>"+$L$20&lt;(E20/10)"</formula>
    </cfRule>
    <cfRule type="expression" dxfId="10" priority="44">
      <formula>$I$16&lt;TODAY()</formula>
    </cfRule>
  </conditionalFormatting>
  <conditionalFormatting sqref="I82:I93">
    <cfRule type="expression" dxfId="9" priority="1">
      <formula>"+$L$20&lt;(E20/10)"</formula>
    </cfRule>
    <cfRule type="expression" dxfId="8" priority="2">
      <formula>$I$16&lt;TODAY()</formula>
    </cfRule>
  </conditionalFormatting>
  <hyperlinks>
    <hyperlink ref="C21" r:id="rId1" xr:uid="{3468AECC-95F8-434B-ABFA-ACE6AD3BC664}"/>
    <hyperlink ref="C24" r:id="rId2" xr:uid="{B28E9C2C-231F-4CF8-A191-F7BD24D9D9FB}"/>
    <hyperlink ref="C23" r:id="rId3" xr:uid="{FC0053F2-5491-447C-B990-DE014DFD72F6}"/>
    <hyperlink ref="C22" r:id="rId4" xr:uid="{50EFFBF7-1DED-4647-B28E-A16715E9F9C2}"/>
    <hyperlink ref="C25" r:id="rId5" xr:uid="{4D84F098-A4D9-488E-8FB0-E9EB42D11E95}"/>
    <hyperlink ref="C28" r:id="rId6" xr:uid="{85C674B3-5265-4DA1-B970-AE14C5FC8A74}"/>
    <hyperlink ref="C30" r:id="rId7" xr:uid="{02B4536E-9A90-47E4-ADDB-9C2F81C3AF96}"/>
    <hyperlink ref="C31" r:id="rId8" xr:uid="{45FAC3E0-6E25-4267-B0FD-E88103D322C2}"/>
    <hyperlink ref="C32" r:id="rId9" xr:uid="{62C70B5B-76D5-41EF-BD02-EF03F4B27F38}"/>
    <hyperlink ref="C35" r:id="rId10" xr:uid="{925A746A-3C12-4DE4-ADAD-74804933B118}"/>
    <hyperlink ref="C36" r:id="rId11" xr:uid="{B38905D2-A0D9-436C-A5C1-DFD65066E3D2}"/>
    <hyperlink ref="C39" r:id="rId12" xr:uid="{76A7200E-6CCA-460A-946F-91B5484292C9}"/>
    <hyperlink ref="C37" r:id="rId13" xr:uid="{1818A983-2BFE-4F49-853C-2957E9D76047}"/>
    <hyperlink ref="C38" r:id="rId14" xr:uid="{7311B90A-BEA1-4BBB-AA8C-1067E1923152}"/>
    <hyperlink ref="C42" r:id="rId15" xr:uid="{4243A5C7-E3CB-4F60-8BD1-F4D2759A7070}"/>
    <hyperlink ref="C41" r:id="rId16" xr:uid="{F732CE39-755A-4283-80A7-E0E9EF8842AE}"/>
    <hyperlink ref="C45" r:id="rId17" xr:uid="{AAA74AE0-5808-4BEE-BCB2-FF9F25CDA193}"/>
    <hyperlink ref="C47" r:id="rId18" xr:uid="{F1C842ED-E87E-4175-8C3C-DFBB2868970B}"/>
    <hyperlink ref="C49" r:id="rId19" xr:uid="{796AF71C-0FFE-495D-A584-1FD48813DAFB}"/>
    <hyperlink ref="C50" r:id="rId20" xr:uid="{6487E5F8-2104-4B98-BFAB-9C3E13E28803}"/>
    <hyperlink ref="C52" r:id="rId21" xr:uid="{58F6119F-E5F9-4C68-8772-CA7C149090F6}"/>
    <hyperlink ref="C53" r:id="rId22" xr:uid="{B02DDC5F-24F6-47AB-AAB9-C4284481F6DF}"/>
    <hyperlink ref="C54" r:id="rId23" xr:uid="{877CF1A8-C9A9-418B-87E5-420C7E2F7350}"/>
    <hyperlink ref="C56" r:id="rId24" xr:uid="{DA0DCD66-135D-49BA-9225-678A0BB39748}"/>
    <hyperlink ref="C60" r:id="rId25" xr:uid="{59DB0E45-F046-4D59-984A-3660BA59EE4E}"/>
    <hyperlink ref="C65" r:id="rId26" xr:uid="{704C2117-67A9-42D6-89FA-E9BC4B41F050}"/>
    <hyperlink ref="C43" r:id="rId27" xr:uid="{382FE830-21C0-41AC-A2C0-A703C82588FF}"/>
    <hyperlink ref="C67" r:id="rId28" xr:uid="{D4A21CC7-C106-4038-8E76-7A64F267F846}"/>
    <hyperlink ref="C66" r:id="rId29" xr:uid="{AAED7C05-E340-40D2-AAD4-5E38199A8EB3}"/>
    <hyperlink ref="C69" r:id="rId30" xr:uid="{6B206B4D-3199-4D43-8EC2-F15814C06268}"/>
    <hyperlink ref="C72" r:id="rId31" xr:uid="{313126FE-D9F1-4CC8-9D6E-A258D17FA4C3}"/>
    <hyperlink ref="C71" r:id="rId32" xr:uid="{7C696B82-F82E-435A-BD74-73AAD7FCF4E6}"/>
    <hyperlink ref="C63" r:id="rId33" xr:uid="{3E4C0116-E76B-4F48-985D-C359DCAE6E82}"/>
    <hyperlink ref="C74" r:id="rId34" xr:uid="{E282ACC8-F0DE-4EA6-A9E2-8FBA983F1CFE}"/>
    <hyperlink ref="C76" r:id="rId35" xr:uid="{EDE23C19-8B3D-4E21-AD1A-F7085CDFD213}"/>
    <hyperlink ref="C78" r:id="rId36" xr:uid="{B10EF604-C502-4369-9435-99C7DBD7BE58}"/>
    <hyperlink ref="C44" r:id="rId37" xr:uid="{D770B3C0-CD62-4678-8D98-340ED47C9D5A}"/>
    <hyperlink ref="C79" r:id="rId38" xr:uid="{23DD2204-2BFF-41AD-AF6C-CB235AA6729C}"/>
    <hyperlink ref="C33" r:id="rId39" xr:uid="{600DAAB5-F167-4DB1-9003-524F34E9529D}"/>
    <hyperlink ref="C70" r:id="rId40" xr:uid="{90B81259-853F-498C-8D59-FB34868C8B9E}"/>
    <hyperlink ref="C12" r:id="rId41" xr:uid="{79CA9BEF-2B0D-4B00-8B32-902F7735FB0C}"/>
    <hyperlink ref="C77" r:id="rId42" xr:uid="{A9578CCC-2445-4764-BBFF-AF5568671E52}"/>
    <hyperlink ref="C64" r:id="rId43" xr:uid="{AF8CF6EA-C8E9-4CCE-B9FE-652D27D45CFF}"/>
    <hyperlink ref="C62" r:id="rId44" xr:uid="{2ADE9B55-1460-4F85-A69E-6874A49FF2F9}"/>
    <hyperlink ref="C61" r:id="rId45" xr:uid="{8BE058FB-495B-4D8B-AA46-D76634CD00AA}"/>
    <hyperlink ref="C55" r:id="rId46" xr:uid="{CD76A570-7FD9-4B6C-9857-CD6456752582}"/>
    <hyperlink ref="C59" r:id="rId47" xr:uid="{9A03B476-EB50-47CC-8689-40073EF159B8}"/>
    <hyperlink ref="C57" r:id="rId48" xr:uid="{41992FBB-549B-4725-AB88-D31903AC023F}"/>
    <hyperlink ref="C11" r:id="rId49" xr:uid="{FC251355-03DB-4A80-9E7A-0CC7F2D89705}"/>
    <hyperlink ref="C75" r:id="rId50" xr:uid="{DFD9E3C3-96C4-4A62-B3A1-D55B8E951C70}"/>
    <hyperlink ref="C80" r:id="rId51" xr:uid="{C9957695-2574-466E-8AD2-C61BFE02173E}"/>
    <hyperlink ref="B7" r:id="rId52" xr:uid="{29F2039C-86C6-47A4-8987-0A561B732A1A}"/>
    <hyperlink ref="C29" r:id="rId53" xr:uid="{8A45735E-5548-4711-A002-29D2A3005A50}"/>
    <hyperlink ref="C51" r:id="rId54" xr:uid="{AEA13247-E7F3-480F-A4A5-9FF446D63E97}"/>
    <hyperlink ref="C48" r:id="rId55" xr:uid="{E71DAC81-D995-429E-AB15-D14747ECBBEA}"/>
    <hyperlink ref="C34" r:id="rId56" xr:uid="{1349BA52-A8F9-48CD-9BF5-623EC63C7103}"/>
    <hyperlink ref="C46" r:id="rId57" xr:uid="{A838876D-C776-4370-B4F9-71F0B1B4A6E3}"/>
    <hyperlink ref="C58" r:id="rId58" xr:uid="{60DCCCAE-DBE1-4560-A20C-DBF6E0B86ADD}"/>
    <hyperlink ref="C68" r:id="rId59" xr:uid="{ED74D03E-5D99-444E-B7B0-E38BA62925AF}"/>
    <hyperlink ref="C26" r:id="rId60" xr:uid="{07711DCE-E559-429E-B8DF-9CFD00DF5C2F}"/>
    <hyperlink ref="C13:C17" r:id="rId61" display="Click Here" xr:uid="{99D80D73-0933-4008-A5AD-A829E116A267}"/>
    <hyperlink ref="C13" r:id="rId62" xr:uid="{EA53FB41-FB16-4573-A790-773D848DBA0C}"/>
    <hyperlink ref="C14" r:id="rId63" xr:uid="{DD5DEE3A-0F63-4594-A47E-06FF218FF75D}"/>
    <hyperlink ref="C15" r:id="rId64" xr:uid="{3EEE92F1-54AF-4C1A-B2FB-687D7C6761CC}"/>
    <hyperlink ref="C16" r:id="rId65" xr:uid="{29F10EC5-E34E-4A9F-9C1F-658E7C1FA940}"/>
    <hyperlink ref="C17" r:id="rId66" xr:uid="{55F64356-9710-4111-A235-3B908EE182F1}"/>
    <hyperlink ref="C81" r:id="rId67" xr:uid="{1922C36E-84E9-4667-B900-16B417A00CF0}"/>
    <hyperlink ref="C18" r:id="rId68" xr:uid="{57B4CFC0-FAC0-4B4F-94C7-8779DF717DE8}"/>
    <hyperlink ref="C19" r:id="rId69" xr:uid="{CA4DE0E4-4D33-4374-B1B3-680FB1446312}"/>
    <hyperlink ref="C82" r:id="rId70" xr:uid="{C4DD8D24-0EBF-4D88-B1CD-2BCFD78D34F2}"/>
    <hyperlink ref="C40" r:id="rId71" xr:uid="{4F066CBD-9DF5-480B-9009-FE1A36FFC03C}"/>
    <hyperlink ref="C27" r:id="rId72" xr:uid="{DA888463-A179-4FCC-9F75-CC2D38138307}"/>
    <hyperlink ref="C84" r:id="rId73" xr:uid="{BD3A3585-C2DF-4CEE-AC38-3D19E70AC9C0}"/>
    <hyperlink ref="C83" r:id="rId74" xr:uid="{04A77DD5-CC38-4E77-B5EF-C9D959C2BBC7}"/>
    <hyperlink ref="C85" r:id="rId75" xr:uid="{E3B1232B-248C-4BE5-832B-31285E5D556E}"/>
    <hyperlink ref="C86" r:id="rId76" xr:uid="{19C8CD17-AEA3-4AF1-AC86-78C1A195E2DA}"/>
    <hyperlink ref="C87" r:id="rId77" xr:uid="{BFBA9C20-F0EC-4619-81E3-989B37E6FF33}"/>
    <hyperlink ref="C88" r:id="rId78" xr:uid="{E5818369-170E-4B8A-9652-FAB5639C7FF0}"/>
    <hyperlink ref="C89" r:id="rId79" xr:uid="{8AAD09F7-BCFA-4890-886F-A7ED47F0F8E0}"/>
    <hyperlink ref="C90" r:id="rId80" xr:uid="{F803331C-147F-4CF1-B120-B25399D6472C}"/>
    <hyperlink ref="C91" r:id="rId81" xr:uid="{E32146E8-99E2-4297-B6A9-3090C9E27BB8}"/>
    <hyperlink ref="C92" r:id="rId82" xr:uid="{D1AC95E9-67CE-4136-87C8-671CD2DB90E6}"/>
    <hyperlink ref="C93" r:id="rId83" xr:uid="{BA7C53C2-A5E4-436C-957C-7D94C00FE3C1}"/>
    <hyperlink ref="I73" r:id="rId84" display="../../Forms/WIDE.aspx?id=%2Fsites%2FGlobal%20Server%20And%20Platform%20Operations%2Fsiops%2FShared%20Documents%2F2%20%2D%20OPERATIONS%2FCloud%20Connector%2FUtsha%5FCloud&amp;viewid=8d381445%2D193a%2D4128%2D890b%2D36bf43ff9351&amp;xsdata=MDV8MDJ8fDUyNTdlNDE4NDE1MzQyY2Y2YTVmMDhkZWI3MTdkYmJmfDE1NjJmMDA3MDlhNDRmY2I5MzZiZTc5MjQ2NTcxZmM3fDB8MHw2MzkxNDk1MTAyMzIwNzQ4NDd8VW5rbm93bnxWR1ZoYlhOVFpXTjFjbWwwZVZObGNuWnBZMlY4ZXlKRFFTSTZJbFJsWVcxelgwRlVVRk5sY25acFkyVmZVMUJQVEU5R0lpd2lWaUk2SWpBdU1DNHdNREF3SWl3aVVDSTZJbGRwYmpNeUlpd2lRVTRpT2lKUGRHaGxjaUlzSWxkVUlqb3hNWDA9fDF8TDJOb1lYUnpMekU1T21Fek0yTmtPVEl3TFROa1pUa3ROR0kyTXkwNVlXRXdMVEl5TW1RM05EbGlOV0V6Wmw5aU5XWXpaVGxqTXkwMU1EZzJMVFE0WWpFdE9HUmtOeTA0WlRFeE4yRTNOMkU0TW1OQWRXNXhMbWRpYkM1emNHRmpaWE12YldWemMyRm5aWE12TVRjM09UTTFOREl5TURNd053PT18NDZiYTAwMjkwNjBkNDkxMmNkYzkwOGRlYjcxN2RiYmV8N2U4YjczMzg2MDQ4NGRhMGEwYmFmZTY2OTg4OTJmOGI%3D&amp;sdata=bEdWSmdpaEJtSU4rWnVwcEU3aWl6UXR5eElzVjdwZnFudGdvaWg3WHJLYz0%3D&amp;ovuser=1562f007-09a4-4fcb-936b-e79246571fc7%2Cin08f9%40linde.com" xr:uid="{B35483AC-F3CB-4A05-9324-F309678EF3D9}"/>
  </hyperlinks>
  <pageMargins left="0.7" right="0.7" top="0.75" bottom="0.75" header="0.3" footer="0.3"/>
  <pageSetup orientation="portrait" r:id="rId85"/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7F4C-7861-4780-89FE-03A7E13090C2}">
  <dimension ref="A2:B22"/>
  <sheetViews>
    <sheetView workbookViewId="0">
      <selection activeCell="B16" sqref="B16"/>
    </sheetView>
  </sheetViews>
  <sheetFormatPr defaultRowHeight="15" x14ac:dyDescent="0.25"/>
  <cols>
    <col min="1" max="1" width="5.42578125" customWidth="1"/>
    <col min="2" max="2" width="159.5703125" customWidth="1"/>
  </cols>
  <sheetData>
    <row r="2" spans="1:2" ht="19.5" x14ac:dyDescent="0.3">
      <c r="A2" s="38">
        <v>1</v>
      </c>
      <c r="B2" s="39" t="s">
        <v>117</v>
      </c>
    </row>
    <row r="3" spans="1:2" ht="19.5" x14ac:dyDescent="0.3">
      <c r="A3" s="38">
        <v>2</v>
      </c>
      <c r="B3" s="39" t="s">
        <v>118</v>
      </c>
    </row>
    <row r="4" spans="1:2" ht="19.5" x14ac:dyDescent="0.3">
      <c r="A4" s="38">
        <v>3</v>
      </c>
      <c r="B4" s="39" t="s">
        <v>119</v>
      </c>
    </row>
    <row r="5" spans="1:2" ht="19.5" x14ac:dyDescent="0.3">
      <c r="A5" s="38">
        <v>4</v>
      </c>
      <c r="B5" s="39" t="s">
        <v>120</v>
      </c>
    </row>
    <row r="6" spans="1:2" ht="19.5" x14ac:dyDescent="0.3">
      <c r="A6" s="38">
        <v>5</v>
      </c>
      <c r="B6" s="39" t="s">
        <v>121</v>
      </c>
    </row>
    <row r="7" spans="1:2" ht="19.5" x14ac:dyDescent="0.3">
      <c r="A7" s="38">
        <v>6</v>
      </c>
      <c r="B7" s="39" t="s">
        <v>122</v>
      </c>
    </row>
    <row r="8" spans="1:2" ht="19.5" x14ac:dyDescent="0.3">
      <c r="A8" s="38">
        <v>7</v>
      </c>
      <c r="B8" s="39" t="s">
        <v>123</v>
      </c>
    </row>
    <row r="9" spans="1:2" ht="19.5" x14ac:dyDescent="0.3">
      <c r="A9" s="38">
        <v>8</v>
      </c>
      <c r="B9" s="39" t="s">
        <v>124</v>
      </c>
    </row>
    <row r="10" spans="1:2" ht="19.5" x14ac:dyDescent="0.3">
      <c r="A10" s="38">
        <v>9</v>
      </c>
      <c r="B10" s="39" t="s">
        <v>125</v>
      </c>
    </row>
    <row r="11" spans="1:2" ht="19.5" x14ac:dyDescent="0.3">
      <c r="A11" s="38">
        <v>10</v>
      </c>
      <c r="B11" s="39"/>
    </row>
    <row r="12" spans="1:2" ht="19.5" x14ac:dyDescent="0.3">
      <c r="A12" s="38">
        <v>11</v>
      </c>
      <c r="B12" s="39"/>
    </row>
    <row r="13" spans="1:2" ht="19.5" x14ac:dyDescent="0.3">
      <c r="A13" s="38">
        <v>12</v>
      </c>
      <c r="B13" s="39"/>
    </row>
    <row r="14" spans="1:2" ht="19.5" x14ac:dyDescent="0.3">
      <c r="A14" s="38">
        <v>13</v>
      </c>
      <c r="B14" s="39"/>
    </row>
    <row r="15" spans="1:2" ht="19.5" x14ac:dyDescent="0.3">
      <c r="A15" s="38">
        <v>14</v>
      </c>
      <c r="B15" s="39"/>
    </row>
    <row r="16" spans="1:2" ht="19.5" x14ac:dyDescent="0.3">
      <c r="A16" s="38">
        <v>15</v>
      </c>
      <c r="B16" s="39"/>
    </row>
    <row r="17" spans="1:2" ht="19.5" x14ac:dyDescent="0.3">
      <c r="A17" s="38">
        <v>16</v>
      </c>
      <c r="B17" s="39"/>
    </row>
    <row r="18" spans="1:2" ht="19.5" x14ac:dyDescent="0.3">
      <c r="A18" s="38">
        <v>17</v>
      </c>
      <c r="B18" s="39"/>
    </row>
    <row r="19" spans="1:2" ht="19.5" x14ac:dyDescent="0.3">
      <c r="A19" s="38">
        <v>18</v>
      </c>
      <c r="B19" s="39"/>
    </row>
    <row r="20" spans="1:2" ht="19.5" x14ac:dyDescent="0.3">
      <c r="A20" s="38">
        <v>19</v>
      </c>
      <c r="B20" s="39"/>
    </row>
    <row r="21" spans="1:2" ht="19.5" x14ac:dyDescent="0.3">
      <c r="A21" s="38">
        <v>20</v>
      </c>
      <c r="B21" s="39"/>
    </row>
    <row r="22" spans="1:2" ht="19.5" x14ac:dyDescent="0.3">
      <c r="A22" s="38">
        <v>21</v>
      </c>
      <c r="B22" s="3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C515-3614-4FEE-B89C-E12CF925B287}">
  <dimension ref="A1:C27"/>
  <sheetViews>
    <sheetView topLeftCell="A13" workbookViewId="0">
      <selection activeCell="A20" sqref="A20"/>
    </sheetView>
  </sheetViews>
  <sheetFormatPr defaultRowHeight="15" x14ac:dyDescent="0.25"/>
  <cols>
    <col min="1" max="1" width="14.5703125" bestFit="1" customWidth="1"/>
    <col min="2" max="2" width="22.5703125" bestFit="1" customWidth="1"/>
    <col min="3" max="3" width="23.5703125" bestFit="1" customWidth="1"/>
    <col min="4" max="4" width="23.42578125" bestFit="1" customWidth="1"/>
    <col min="5" max="5" width="36.42578125" bestFit="1" customWidth="1"/>
    <col min="6" max="6" width="20.42578125" bestFit="1" customWidth="1"/>
    <col min="7" max="7" width="30.140625" bestFit="1" customWidth="1"/>
    <col min="8" max="8" width="22.28515625" bestFit="1" customWidth="1"/>
    <col min="9" max="9" width="9.140625" bestFit="1" customWidth="1"/>
    <col min="10" max="10" width="28.85546875" bestFit="1" customWidth="1"/>
    <col min="11" max="11" width="27.140625" bestFit="1" customWidth="1"/>
    <col min="12" max="12" width="30.5703125" bestFit="1" customWidth="1"/>
    <col min="13" max="13" width="21.5703125" bestFit="1" customWidth="1"/>
    <col min="14" max="14" width="35.42578125" bestFit="1" customWidth="1"/>
    <col min="15" max="15" width="16.85546875" bestFit="1" customWidth="1"/>
    <col min="16" max="16" width="33.140625" bestFit="1" customWidth="1"/>
    <col min="17" max="17" width="23.5703125" bestFit="1" customWidth="1"/>
    <col min="18" max="19" width="16.42578125" bestFit="1" customWidth="1"/>
    <col min="20" max="20" width="24.5703125" bestFit="1" customWidth="1"/>
    <col min="21" max="21" width="20.140625" bestFit="1" customWidth="1"/>
    <col min="22" max="22" width="25.5703125" bestFit="1" customWidth="1"/>
    <col min="23" max="23" width="16.42578125" bestFit="1" customWidth="1"/>
    <col min="24" max="24" width="33.5703125" bestFit="1" customWidth="1"/>
    <col min="25" max="25" width="39.42578125" bestFit="1" customWidth="1"/>
    <col min="26" max="26" width="20" bestFit="1" customWidth="1"/>
    <col min="27" max="27" width="27" bestFit="1" customWidth="1"/>
    <col min="28" max="28" width="18.140625" bestFit="1" customWidth="1"/>
    <col min="29" max="29" width="29.140625" bestFit="1" customWidth="1"/>
    <col min="30" max="30" width="15.28515625" bestFit="1" customWidth="1"/>
    <col min="31" max="31" width="17" bestFit="1" customWidth="1"/>
    <col min="32" max="32" width="36.5703125" bestFit="1" customWidth="1"/>
    <col min="33" max="33" width="30.5703125" bestFit="1" customWidth="1"/>
    <col min="34" max="34" width="24.28515625" bestFit="1" customWidth="1"/>
    <col min="35" max="35" width="23.42578125" bestFit="1" customWidth="1"/>
    <col min="36" max="36" width="14.5703125" bestFit="1" customWidth="1"/>
    <col min="37" max="37" width="33.5703125" bestFit="1" customWidth="1"/>
    <col min="38" max="38" width="100.140625" bestFit="1" customWidth="1"/>
    <col min="39" max="39" width="45.5703125" bestFit="1" customWidth="1"/>
    <col min="40" max="40" width="15.140625" bestFit="1" customWidth="1"/>
    <col min="41" max="41" width="15.7109375" bestFit="1" customWidth="1"/>
    <col min="42" max="42" width="17" bestFit="1" customWidth="1"/>
    <col min="43" max="43" width="10.5703125" bestFit="1" customWidth="1"/>
    <col min="44" max="44" width="22.140625" bestFit="1" customWidth="1"/>
    <col min="45" max="45" width="23" bestFit="1" customWidth="1"/>
    <col min="46" max="46" width="50.140625" bestFit="1" customWidth="1"/>
    <col min="47" max="47" width="20.140625" bestFit="1" customWidth="1"/>
    <col min="48" max="48" width="20" bestFit="1" customWidth="1"/>
    <col min="49" max="49" width="29.28515625" bestFit="1" customWidth="1"/>
    <col min="50" max="50" width="28" bestFit="1" customWidth="1"/>
    <col min="51" max="51" width="10.7109375" bestFit="1" customWidth="1"/>
    <col min="52" max="52" width="25.42578125" bestFit="1" customWidth="1"/>
    <col min="53" max="53" width="17.42578125" bestFit="1" customWidth="1"/>
    <col min="54" max="54" width="37.85546875" bestFit="1" customWidth="1"/>
    <col min="55" max="55" width="27.140625" bestFit="1" customWidth="1"/>
    <col min="56" max="56" width="13.7109375" bestFit="1" customWidth="1"/>
    <col min="57" max="57" width="24.7109375" bestFit="1" customWidth="1"/>
    <col min="58" max="58" width="20.7109375" bestFit="1" customWidth="1"/>
    <col min="59" max="59" width="16.140625" bestFit="1" customWidth="1"/>
    <col min="60" max="60" width="27.5703125" bestFit="1" customWidth="1"/>
    <col min="61" max="61" width="14.42578125" bestFit="1" customWidth="1"/>
    <col min="62" max="62" width="23.28515625" bestFit="1" customWidth="1"/>
    <col min="63" max="63" width="25.140625" bestFit="1" customWidth="1"/>
    <col min="64" max="64" width="20.5703125" bestFit="1" customWidth="1"/>
    <col min="65" max="65" width="16.42578125" bestFit="1" customWidth="1"/>
    <col min="66" max="66" width="33.5703125" bestFit="1" customWidth="1"/>
    <col min="67" max="67" width="22.5703125" bestFit="1" customWidth="1"/>
    <col min="68" max="68" width="16.42578125" bestFit="1" customWidth="1"/>
    <col min="69" max="69" width="17.28515625" bestFit="1" customWidth="1"/>
    <col min="70" max="70" width="23.42578125" bestFit="1" customWidth="1"/>
    <col min="71" max="71" width="26" bestFit="1" customWidth="1"/>
    <col min="72" max="72" width="26.7109375" bestFit="1" customWidth="1"/>
    <col min="73" max="73" width="27.7109375" bestFit="1" customWidth="1"/>
    <col min="74" max="74" width="13.85546875" bestFit="1" customWidth="1"/>
    <col min="75" max="75" width="17.85546875" bestFit="1" customWidth="1"/>
    <col min="76" max="76" width="24.5703125" bestFit="1" customWidth="1"/>
    <col min="77" max="77" width="20.85546875" bestFit="1" customWidth="1"/>
    <col min="78" max="78" width="23.7109375" bestFit="1" customWidth="1"/>
    <col min="79" max="79" width="11.85546875" bestFit="1" customWidth="1"/>
    <col min="80" max="80" width="20.5703125" bestFit="1" customWidth="1"/>
    <col min="81" max="81" width="10.42578125" bestFit="1" customWidth="1"/>
  </cols>
  <sheetData>
    <row r="1" spans="1:3" x14ac:dyDescent="0.25">
      <c r="A1" s="41" t="s">
        <v>3</v>
      </c>
      <c r="B1" t="s" vm="1">
        <v>126</v>
      </c>
    </row>
    <row r="3" spans="1:3" x14ac:dyDescent="0.25">
      <c r="A3" s="41" t="s">
        <v>127</v>
      </c>
      <c r="B3" t="s">
        <v>128</v>
      </c>
    </row>
    <row r="4" spans="1:3" x14ac:dyDescent="0.25">
      <c r="A4" s="24" t="s">
        <v>129</v>
      </c>
      <c r="B4">
        <v>2</v>
      </c>
    </row>
    <row r="5" spans="1:3" x14ac:dyDescent="0.25">
      <c r="A5" s="24" t="s">
        <v>22</v>
      </c>
      <c r="B5">
        <v>6</v>
      </c>
    </row>
    <row r="6" spans="1:3" x14ac:dyDescent="0.25">
      <c r="A6" s="24" t="s">
        <v>130</v>
      </c>
      <c r="B6">
        <v>4</v>
      </c>
    </row>
    <row r="7" spans="1:3" x14ac:dyDescent="0.25">
      <c r="A7" s="24" t="s">
        <v>32</v>
      </c>
      <c r="B7">
        <v>7</v>
      </c>
    </row>
    <row r="8" spans="1:3" x14ac:dyDescent="0.25">
      <c r="A8" s="24" t="s">
        <v>63</v>
      </c>
      <c r="B8">
        <v>4</v>
      </c>
    </row>
    <row r="9" spans="1:3" x14ac:dyDescent="0.25">
      <c r="A9" s="24" t="s">
        <v>69</v>
      </c>
      <c r="B9">
        <v>4</v>
      </c>
    </row>
    <row r="10" spans="1:3" x14ac:dyDescent="0.25">
      <c r="A10" s="24" t="s">
        <v>99</v>
      </c>
      <c r="B10">
        <v>3</v>
      </c>
      <c r="C10" s="42" t="s">
        <v>99</v>
      </c>
    </row>
    <row r="11" spans="1:3" x14ac:dyDescent="0.25">
      <c r="A11" s="24" t="s">
        <v>105</v>
      </c>
      <c r="B11">
        <v>2</v>
      </c>
    </row>
    <row r="12" spans="1:3" x14ac:dyDescent="0.25">
      <c r="A12" s="24" t="s">
        <v>43</v>
      </c>
      <c r="B12">
        <v>4</v>
      </c>
    </row>
    <row r="13" spans="1:3" x14ac:dyDescent="0.25">
      <c r="A13" s="24" t="s">
        <v>15</v>
      </c>
      <c r="B13">
        <v>1</v>
      </c>
    </row>
    <row r="14" spans="1:3" x14ac:dyDescent="0.25">
      <c r="A14" s="24" t="s">
        <v>77</v>
      </c>
      <c r="B14">
        <v>2</v>
      </c>
    </row>
    <row r="15" spans="1:3" x14ac:dyDescent="0.25">
      <c r="A15" s="24" t="s">
        <v>20</v>
      </c>
      <c r="B15">
        <v>5</v>
      </c>
    </row>
    <row r="16" spans="1:3" x14ac:dyDescent="0.25">
      <c r="A16" s="24" t="s">
        <v>59</v>
      </c>
      <c r="B16">
        <v>2</v>
      </c>
    </row>
    <row r="17" spans="1:2" x14ac:dyDescent="0.25">
      <c r="A17" s="24" t="s">
        <v>23</v>
      </c>
      <c r="B17">
        <v>1</v>
      </c>
    </row>
    <row r="18" spans="1:2" x14ac:dyDescent="0.25">
      <c r="A18" s="24" t="s">
        <v>12</v>
      </c>
      <c r="B18">
        <v>4</v>
      </c>
    </row>
    <row r="19" spans="1:2" x14ac:dyDescent="0.25">
      <c r="A19" s="24" t="s">
        <v>38</v>
      </c>
      <c r="B19">
        <v>4</v>
      </c>
    </row>
    <row r="20" spans="1:2" x14ac:dyDescent="0.25">
      <c r="A20" s="24" t="s">
        <v>58</v>
      </c>
      <c r="B20">
        <v>3</v>
      </c>
    </row>
    <row r="21" spans="1:2" x14ac:dyDescent="0.25">
      <c r="A21" s="24" t="s">
        <v>40</v>
      </c>
      <c r="B21">
        <v>1</v>
      </c>
    </row>
    <row r="22" spans="1:2" x14ac:dyDescent="0.25">
      <c r="A22" s="24" t="s">
        <v>51</v>
      </c>
      <c r="B22">
        <v>6</v>
      </c>
    </row>
    <row r="23" spans="1:2" x14ac:dyDescent="0.25">
      <c r="A23" s="24" t="s">
        <v>18</v>
      </c>
      <c r="B23">
        <v>6</v>
      </c>
    </row>
    <row r="24" spans="1:2" x14ac:dyDescent="0.25">
      <c r="A24" s="24" t="s">
        <v>29</v>
      </c>
      <c r="B24">
        <v>2</v>
      </c>
    </row>
    <row r="25" spans="1:2" x14ac:dyDescent="0.25">
      <c r="A25" s="24" t="s">
        <v>61</v>
      </c>
      <c r="B25">
        <v>2</v>
      </c>
    </row>
    <row r="26" spans="1:2" x14ac:dyDescent="0.25">
      <c r="A26" s="24" t="s">
        <v>25</v>
      </c>
      <c r="B26">
        <v>4</v>
      </c>
    </row>
    <row r="27" spans="1:2" x14ac:dyDescent="0.25">
      <c r="A27" s="24" t="s">
        <v>131</v>
      </c>
      <c r="B27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4671-5863-44EE-A27D-350A93E74542}">
  <dimension ref="A4:B15"/>
  <sheetViews>
    <sheetView zoomScale="70" zoomScaleNormal="70" workbookViewId="0"/>
  </sheetViews>
  <sheetFormatPr defaultRowHeight="15" x14ac:dyDescent="0.25"/>
  <cols>
    <col min="1" max="1" width="25.28515625" bestFit="1" customWidth="1"/>
    <col min="2" max="2" width="13.28515625" bestFit="1" customWidth="1"/>
  </cols>
  <sheetData>
    <row r="4" spans="1:2" x14ac:dyDescent="0.25">
      <c r="A4" s="20" t="s">
        <v>132</v>
      </c>
      <c r="B4" s="20" t="s">
        <v>133</v>
      </c>
    </row>
    <row r="5" spans="1:2" x14ac:dyDescent="0.25">
      <c r="A5" s="20" t="s">
        <v>134</v>
      </c>
      <c r="B5" s="20">
        <v>14</v>
      </c>
    </row>
    <row r="6" spans="1:2" x14ac:dyDescent="0.25">
      <c r="A6" s="20" t="s">
        <v>135</v>
      </c>
      <c r="B6" s="20">
        <v>11</v>
      </c>
    </row>
    <row r="7" spans="1:2" x14ac:dyDescent="0.25">
      <c r="A7" s="20" t="s">
        <v>136</v>
      </c>
      <c r="B7" s="20">
        <v>11</v>
      </c>
    </row>
    <row r="9" spans="1:2" ht="21" x14ac:dyDescent="0.35">
      <c r="B9" s="21" t="s">
        <v>137</v>
      </c>
    </row>
    <row r="15" spans="1:2" ht="20.25" customHeight="1" x14ac:dyDescent="0.25">
      <c r="A15" s="22" t="s">
        <v>0</v>
      </c>
    </row>
  </sheetData>
  <hyperlinks>
    <hyperlink ref="B9" location="'Master Document'!A1" display="Back" xr:uid="{D9BA9A51-FA34-4841-8B33-E05517D02057}"/>
    <hyperlink ref="A15" r:id="rId1" xr:uid="{C8E5561F-6745-4A95-A3E5-1E42F1CBD6CA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C001-9ED6-4212-95BB-89231F8F8408}">
  <dimension ref="A1:D73"/>
  <sheetViews>
    <sheetView workbookViewId="0">
      <selection activeCell="D2" sqref="D2"/>
    </sheetView>
  </sheetViews>
  <sheetFormatPr defaultRowHeight="15" x14ac:dyDescent="0.25"/>
  <cols>
    <col min="2" max="2" width="11.5703125" bestFit="1" customWidth="1"/>
    <col min="3" max="3" width="10.42578125" bestFit="1" customWidth="1"/>
    <col min="4" max="4" width="20.42578125" customWidth="1"/>
  </cols>
  <sheetData>
    <row r="1" spans="1:4" ht="19.5" thickBot="1" x14ac:dyDescent="0.3">
      <c r="A1" s="10" t="s">
        <v>2</v>
      </c>
      <c r="B1" s="11" t="s">
        <v>138</v>
      </c>
      <c r="C1" s="11" t="s">
        <v>139</v>
      </c>
      <c r="D1" s="12" t="s">
        <v>140</v>
      </c>
    </row>
    <row r="2" spans="1:4" x14ac:dyDescent="0.25">
      <c r="A2" s="7">
        <v>1</v>
      </c>
      <c r="B2" s="8"/>
      <c r="C2" s="8"/>
      <c r="D2" s="9" t="s">
        <v>141</v>
      </c>
    </row>
    <row r="3" spans="1:4" x14ac:dyDescent="0.25">
      <c r="A3" s="3">
        <v>2</v>
      </c>
      <c r="B3" s="5"/>
      <c r="C3" s="5"/>
      <c r="D3" s="1" t="s">
        <v>141</v>
      </c>
    </row>
    <row r="4" spans="1:4" x14ac:dyDescent="0.25">
      <c r="A4" s="3">
        <v>3</v>
      </c>
      <c r="B4" s="5"/>
      <c r="C4" s="5"/>
      <c r="D4" s="1" t="s">
        <v>141</v>
      </c>
    </row>
    <row r="5" spans="1:4" x14ac:dyDescent="0.25">
      <c r="A5" s="3">
        <v>4</v>
      </c>
      <c r="B5" s="5"/>
      <c r="C5" s="5"/>
      <c r="D5" s="1" t="s">
        <v>141</v>
      </c>
    </row>
    <row r="6" spans="1:4" x14ac:dyDescent="0.25">
      <c r="A6" s="3">
        <v>5</v>
      </c>
      <c r="B6" s="5"/>
      <c r="C6" s="5"/>
      <c r="D6" s="1" t="s">
        <v>141</v>
      </c>
    </row>
    <row r="7" spans="1:4" x14ac:dyDescent="0.25">
      <c r="A7" s="3">
        <v>6</v>
      </c>
      <c r="B7" s="5"/>
      <c r="C7" s="5"/>
      <c r="D7" s="1" t="s">
        <v>141</v>
      </c>
    </row>
    <row r="8" spans="1:4" x14ac:dyDescent="0.25">
      <c r="A8" s="3">
        <v>7</v>
      </c>
      <c r="B8" s="5"/>
      <c r="C8" s="5"/>
      <c r="D8" s="1" t="s">
        <v>141</v>
      </c>
    </row>
    <row r="9" spans="1:4" x14ac:dyDescent="0.25">
      <c r="A9" s="3">
        <v>8</v>
      </c>
      <c r="B9" s="5"/>
      <c r="C9" s="5"/>
      <c r="D9" s="1" t="s">
        <v>141</v>
      </c>
    </row>
    <row r="10" spans="1:4" x14ac:dyDescent="0.25">
      <c r="A10" s="3">
        <v>9</v>
      </c>
      <c r="B10" s="5"/>
      <c r="C10" s="5"/>
      <c r="D10" s="1" t="s">
        <v>141</v>
      </c>
    </row>
    <row r="11" spans="1:4" x14ac:dyDescent="0.25">
      <c r="A11" s="3">
        <v>10</v>
      </c>
      <c r="B11" s="5"/>
      <c r="C11" s="5"/>
      <c r="D11" s="1" t="s">
        <v>141</v>
      </c>
    </row>
    <row r="12" spans="1:4" x14ac:dyDescent="0.25">
      <c r="A12" s="3">
        <v>11</v>
      </c>
      <c r="B12" s="5"/>
      <c r="C12" s="5"/>
      <c r="D12" s="1" t="s">
        <v>141</v>
      </c>
    </row>
    <row r="13" spans="1:4" x14ac:dyDescent="0.25">
      <c r="A13" s="3">
        <v>12</v>
      </c>
      <c r="B13" s="5"/>
      <c r="C13" s="5"/>
      <c r="D13" s="1" t="s">
        <v>141</v>
      </c>
    </row>
    <row r="14" spans="1:4" x14ac:dyDescent="0.25">
      <c r="A14" s="3">
        <v>13</v>
      </c>
      <c r="B14" s="5"/>
      <c r="C14" s="5"/>
      <c r="D14" s="1" t="s">
        <v>141</v>
      </c>
    </row>
    <row r="15" spans="1:4" x14ac:dyDescent="0.25">
      <c r="A15" s="3">
        <v>14</v>
      </c>
      <c r="B15" s="5"/>
      <c r="C15" s="5"/>
      <c r="D15" s="1" t="s">
        <v>141</v>
      </c>
    </row>
    <row r="16" spans="1:4" x14ac:dyDescent="0.25">
      <c r="A16" s="3">
        <v>15</v>
      </c>
      <c r="B16" s="5"/>
      <c r="C16" s="5"/>
      <c r="D16" s="1" t="s">
        <v>141</v>
      </c>
    </row>
    <row r="17" spans="1:4" x14ac:dyDescent="0.25">
      <c r="A17" s="3">
        <v>16</v>
      </c>
      <c r="B17" s="5"/>
      <c r="C17" s="5"/>
      <c r="D17" s="1" t="s">
        <v>141</v>
      </c>
    </row>
    <row r="18" spans="1:4" x14ac:dyDescent="0.25">
      <c r="A18" s="3">
        <v>17</v>
      </c>
      <c r="B18" s="5"/>
      <c r="C18" s="5"/>
      <c r="D18" s="1" t="s">
        <v>141</v>
      </c>
    </row>
    <row r="19" spans="1:4" x14ac:dyDescent="0.25">
      <c r="A19" s="3">
        <v>18</v>
      </c>
      <c r="B19" s="5"/>
      <c r="C19" s="5"/>
      <c r="D19" s="1" t="s">
        <v>141</v>
      </c>
    </row>
    <row r="20" spans="1:4" x14ac:dyDescent="0.25">
      <c r="A20" s="3">
        <v>19</v>
      </c>
      <c r="B20" s="5"/>
      <c r="C20" s="5"/>
      <c r="D20" s="1" t="s">
        <v>141</v>
      </c>
    </row>
    <row r="21" spans="1:4" x14ac:dyDescent="0.25">
      <c r="A21" s="3">
        <v>20</v>
      </c>
      <c r="B21" s="5"/>
      <c r="C21" s="5"/>
      <c r="D21" s="1" t="s">
        <v>141</v>
      </c>
    </row>
    <row r="22" spans="1:4" x14ac:dyDescent="0.25">
      <c r="A22" s="3">
        <v>21</v>
      </c>
      <c r="B22" s="5"/>
      <c r="C22" s="5"/>
      <c r="D22" s="1" t="s">
        <v>141</v>
      </c>
    </row>
    <row r="23" spans="1:4" x14ac:dyDescent="0.25">
      <c r="A23" s="3">
        <v>22</v>
      </c>
      <c r="B23" s="5"/>
      <c r="C23" s="5"/>
      <c r="D23" s="1" t="s">
        <v>141</v>
      </c>
    </row>
    <row r="24" spans="1:4" x14ac:dyDescent="0.25">
      <c r="A24" s="3">
        <v>23</v>
      </c>
      <c r="B24" s="5"/>
      <c r="C24" s="5"/>
      <c r="D24" s="1" t="s">
        <v>141</v>
      </c>
    </row>
    <row r="25" spans="1:4" x14ac:dyDescent="0.25">
      <c r="A25" s="3">
        <v>24</v>
      </c>
      <c r="B25" s="5"/>
      <c r="C25" s="5"/>
      <c r="D25" s="1" t="s">
        <v>141</v>
      </c>
    </row>
    <row r="26" spans="1:4" x14ac:dyDescent="0.25">
      <c r="A26" s="3">
        <v>25</v>
      </c>
      <c r="B26" s="5"/>
      <c r="C26" s="5"/>
      <c r="D26" s="1" t="s">
        <v>141</v>
      </c>
    </row>
    <row r="27" spans="1:4" x14ac:dyDescent="0.25">
      <c r="A27" s="3">
        <v>26</v>
      </c>
      <c r="B27" s="5"/>
      <c r="C27" s="5"/>
      <c r="D27" s="1" t="s">
        <v>141</v>
      </c>
    </row>
    <row r="28" spans="1:4" x14ac:dyDescent="0.25">
      <c r="A28" s="3">
        <v>27</v>
      </c>
      <c r="B28" s="5"/>
      <c r="C28" s="5"/>
      <c r="D28" s="1" t="s">
        <v>141</v>
      </c>
    </row>
    <row r="29" spans="1:4" x14ac:dyDescent="0.25">
      <c r="A29" s="3">
        <v>28</v>
      </c>
      <c r="B29" s="5"/>
      <c r="C29" s="5"/>
      <c r="D29" s="1" t="s">
        <v>141</v>
      </c>
    </row>
    <row r="30" spans="1:4" x14ac:dyDescent="0.25">
      <c r="A30" s="3">
        <v>29</v>
      </c>
      <c r="B30" s="5"/>
      <c r="C30" s="5"/>
      <c r="D30" s="1" t="s">
        <v>141</v>
      </c>
    </row>
    <row r="31" spans="1:4" x14ac:dyDescent="0.25">
      <c r="A31" s="3">
        <v>30</v>
      </c>
      <c r="B31" s="5"/>
      <c r="C31" s="5"/>
      <c r="D31" s="1" t="s">
        <v>141</v>
      </c>
    </row>
    <row r="32" spans="1:4" x14ac:dyDescent="0.25">
      <c r="A32" s="3">
        <v>31</v>
      </c>
      <c r="B32" s="5"/>
      <c r="C32" s="5"/>
      <c r="D32" s="1" t="s">
        <v>141</v>
      </c>
    </row>
    <row r="33" spans="1:4" x14ac:dyDescent="0.25">
      <c r="A33" s="3">
        <v>32</v>
      </c>
      <c r="B33" s="5"/>
      <c r="C33" s="5"/>
      <c r="D33" s="1" t="s">
        <v>141</v>
      </c>
    </row>
    <row r="34" spans="1:4" x14ac:dyDescent="0.25">
      <c r="A34" s="3">
        <v>33</v>
      </c>
      <c r="B34" s="5"/>
      <c r="C34" s="5"/>
      <c r="D34" s="1" t="s">
        <v>141</v>
      </c>
    </row>
    <row r="35" spans="1:4" x14ac:dyDescent="0.25">
      <c r="A35" s="3">
        <v>34</v>
      </c>
      <c r="B35" s="5"/>
      <c r="C35" s="5"/>
      <c r="D35" s="1" t="s">
        <v>141</v>
      </c>
    </row>
    <row r="36" spans="1:4" x14ac:dyDescent="0.25">
      <c r="A36" s="3">
        <v>35</v>
      </c>
      <c r="B36" s="5"/>
      <c r="C36" s="5"/>
      <c r="D36" s="1" t="s">
        <v>141</v>
      </c>
    </row>
    <row r="37" spans="1:4" x14ac:dyDescent="0.25">
      <c r="A37" s="3">
        <v>36</v>
      </c>
      <c r="B37" s="5"/>
      <c r="C37" s="5"/>
      <c r="D37" s="1" t="s">
        <v>141</v>
      </c>
    </row>
    <row r="38" spans="1:4" x14ac:dyDescent="0.25">
      <c r="A38" s="3">
        <v>37</v>
      </c>
      <c r="B38" s="5"/>
      <c r="C38" s="5"/>
      <c r="D38" s="1" t="s">
        <v>141</v>
      </c>
    </row>
    <row r="39" spans="1:4" x14ac:dyDescent="0.25">
      <c r="A39" s="3">
        <v>38</v>
      </c>
      <c r="B39" s="5"/>
      <c r="C39" s="5"/>
      <c r="D39" s="1" t="s">
        <v>141</v>
      </c>
    </row>
    <row r="40" spans="1:4" x14ac:dyDescent="0.25">
      <c r="A40" s="3">
        <v>39</v>
      </c>
      <c r="B40" s="5"/>
      <c r="C40" s="5"/>
      <c r="D40" s="1" t="s">
        <v>141</v>
      </c>
    </row>
    <row r="41" spans="1:4" x14ac:dyDescent="0.25">
      <c r="A41" s="3">
        <v>40</v>
      </c>
      <c r="B41" s="5"/>
      <c r="C41" s="5"/>
      <c r="D41" s="1" t="s">
        <v>141</v>
      </c>
    </row>
    <row r="42" spans="1:4" x14ac:dyDescent="0.25">
      <c r="A42" s="3">
        <v>41</v>
      </c>
      <c r="B42" s="5"/>
      <c r="C42" s="5"/>
      <c r="D42" s="1" t="s">
        <v>141</v>
      </c>
    </row>
    <row r="43" spans="1:4" x14ac:dyDescent="0.25">
      <c r="A43" s="3">
        <v>42</v>
      </c>
      <c r="B43" s="5"/>
      <c r="C43" s="5"/>
      <c r="D43" s="1" t="s">
        <v>141</v>
      </c>
    </row>
    <row r="44" spans="1:4" x14ac:dyDescent="0.25">
      <c r="A44" s="3">
        <v>43</v>
      </c>
      <c r="B44" s="5"/>
      <c r="C44" s="5"/>
      <c r="D44" s="1" t="s">
        <v>141</v>
      </c>
    </row>
    <row r="45" spans="1:4" x14ac:dyDescent="0.25">
      <c r="A45" s="3">
        <v>44</v>
      </c>
      <c r="B45" s="5"/>
      <c r="C45" s="5"/>
      <c r="D45" s="1" t="s">
        <v>141</v>
      </c>
    </row>
    <row r="46" spans="1:4" x14ac:dyDescent="0.25">
      <c r="A46" s="3">
        <v>45</v>
      </c>
      <c r="B46" s="5"/>
      <c r="C46" s="5"/>
      <c r="D46" s="1" t="s">
        <v>141</v>
      </c>
    </row>
    <row r="47" spans="1:4" x14ac:dyDescent="0.25">
      <c r="A47" s="3">
        <v>46</v>
      </c>
      <c r="B47" s="5"/>
      <c r="C47" s="5"/>
      <c r="D47" s="1" t="s">
        <v>141</v>
      </c>
    </row>
    <row r="48" spans="1:4" x14ac:dyDescent="0.25">
      <c r="A48" s="3">
        <v>47</v>
      </c>
      <c r="B48" s="5"/>
      <c r="C48" s="5"/>
      <c r="D48" s="1" t="s">
        <v>141</v>
      </c>
    </row>
    <row r="49" spans="1:4" x14ac:dyDescent="0.25">
      <c r="A49" s="3">
        <v>48</v>
      </c>
      <c r="B49" s="5"/>
      <c r="C49" s="5"/>
      <c r="D49" s="1" t="s">
        <v>141</v>
      </c>
    </row>
    <row r="50" spans="1:4" x14ac:dyDescent="0.25">
      <c r="A50" s="3">
        <v>49</v>
      </c>
      <c r="B50" s="5"/>
      <c r="C50" s="5"/>
      <c r="D50" s="1" t="s">
        <v>141</v>
      </c>
    </row>
    <row r="51" spans="1:4" x14ac:dyDescent="0.25">
      <c r="A51" s="3">
        <v>50</v>
      </c>
      <c r="B51" s="5"/>
      <c r="C51" s="5"/>
      <c r="D51" s="1" t="s">
        <v>141</v>
      </c>
    </row>
    <row r="52" spans="1:4" x14ac:dyDescent="0.25">
      <c r="A52" s="3">
        <v>51</v>
      </c>
      <c r="B52" s="5"/>
      <c r="C52" s="5"/>
      <c r="D52" s="1" t="s">
        <v>141</v>
      </c>
    </row>
    <row r="53" spans="1:4" x14ac:dyDescent="0.25">
      <c r="A53" s="3">
        <v>52</v>
      </c>
      <c r="B53" s="5"/>
      <c r="C53" s="5"/>
      <c r="D53" s="1" t="s">
        <v>141</v>
      </c>
    </row>
    <row r="54" spans="1:4" x14ac:dyDescent="0.25">
      <c r="A54" s="3">
        <v>53</v>
      </c>
      <c r="B54" s="5"/>
      <c r="C54" s="5"/>
      <c r="D54" s="1" t="s">
        <v>141</v>
      </c>
    </row>
    <row r="55" spans="1:4" x14ac:dyDescent="0.25">
      <c r="A55" s="3">
        <v>54</v>
      </c>
      <c r="B55" s="5"/>
      <c r="C55" s="5"/>
      <c r="D55" s="1" t="s">
        <v>141</v>
      </c>
    </row>
    <row r="56" spans="1:4" x14ac:dyDescent="0.25">
      <c r="A56" s="3">
        <v>55</v>
      </c>
      <c r="B56" s="5"/>
      <c r="C56" s="5"/>
      <c r="D56" s="1" t="s">
        <v>141</v>
      </c>
    </row>
    <row r="57" spans="1:4" x14ac:dyDescent="0.25">
      <c r="A57" s="3">
        <v>56</v>
      </c>
      <c r="B57" s="5"/>
      <c r="C57" s="5"/>
      <c r="D57" s="1" t="s">
        <v>141</v>
      </c>
    </row>
    <row r="58" spans="1:4" x14ac:dyDescent="0.25">
      <c r="A58" s="3">
        <v>57</v>
      </c>
      <c r="B58" s="5"/>
      <c r="C58" s="5"/>
      <c r="D58" s="1" t="s">
        <v>141</v>
      </c>
    </row>
    <row r="59" spans="1:4" x14ac:dyDescent="0.25">
      <c r="A59" s="3">
        <v>58</v>
      </c>
      <c r="B59" s="5"/>
      <c r="C59" s="5"/>
      <c r="D59" s="1" t="s">
        <v>141</v>
      </c>
    </row>
    <row r="60" spans="1:4" x14ac:dyDescent="0.25">
      <c r="A60" s="3">
        <v>59</v>
      </c>
      <c r="B60" s="5"/>
      <c r="C60" s="5"/>
      <c r="D60" s="1" t="s">
        <v>141</v>
      </c>
    </row>
    <row r="61" spans="1:4" x14ac:dyDescent="0.25">
      <c r="A61" s="3">
        <v>60</v>
      </c>
      <c r="B61" s="5"/>
      <c r="C61" s="5"/>
      <c r="D61" s="1" t="s">
        <v>141</v>
      </c>
    </row>
    <row r="62" spans="1:4" x14ac:dyDescent="0.25">
      <c r="A62" s="3">
        <v>61</v>
      </c>
      <c r="B62" s="5"/>
      <c r="C62" s="5"/>
      <c r="D62" s="1" t="s">
        <v>141</v>
      </c>
    </row>
    <row r="63" spans="1:4" x14ac:dyDescent="0.25">
      <c r="A63" s="3">
        <v>62</v>
      </c>
      <c r="B63" s="5"/>
      <c r="C63" s="5"/>
      <c r="D63" s="1" t="s">
        <v>141</v>
      </c>
    </row>
    <row r="64" spans="1:4" x14ac:dyDescent="0.25">
      <c r="A64" s="3">
        <v>63</v>
      </c>
      <c r="B64" s="5"/>
      <c r="C64" s="5"/>
      <c r="D64" s="1" t="s">
        <v>141</v>
      </c>
    </row>
    <row r="65" spans="1:4" x14ac:dyDescent="0.25">
      <c r="A65" s="3">
        <v>64</v>
      </c>
      <c r="B65" s="5"/>
      <c r="C65" s="5"/>
      <c r="D65" s="1" t="s">
        <v>141</v>
      </c>
    </row>
    <row r="66" spans="1:4" x14ac:dyDescent="0.25">
      <c r="A66" s="3">
        <v>65</v>
      </c>
      <c r="B66" s="5"/>
      <c r="C66" s="5"/>
      <c r="D66" s="1" t="s">
        <v>141</v>
      </c>
    </row>
    <row r="67" spans="1:4" x14ac:dyDescent="0.25">
      <c r="A67" s="3">
        <v>66</v>
      </c>
      <c r="B67" s="5"/>
      <c r="C67" s="5"/>
      <c r="D67" s="1" t="s">
        <v>141</v>
      </c>
    </row>
    <row r="68" spans="1:4" x14ac:dyDescent="0.25">
      <c r="A68" s="3">
        <v>67</v>
      </c>
      <c r="B68" s="5"/>
      <c r="C68" s="5"/>
      <c r="D68" s="1" t="s">
        <v>141</v>
      </c>
    </row>
    <row r="69" spans="1:4" x14ac:dyDescent="0.25">
      <c r="A69" s="3">
        <v>68</v>
      </c>
      <c r="B69" s="5"/>
      <c r="C69" s="5"/>
      <c r="D69" s="1" t="s">
        <v>141</v>
      </c>
    </row>
    <row r="70" spans="1:4" x14ac:dyDescent="0.25">
      <c r="A70" s="3">
        <v>69</v>
      </c>
      <c r="B70" s="5"/>
      <c r="C70" s="5"/>
      <c r="D70" s="1" t="s">
        <v>141</v>
      </c>
    </row>
    <row r="71" spans="1:4" x14ac:dyDescent="0.25">
      <c r="A71" s="3">
        <v>70</v>
      </c>
      <c r="B71" s="5"/>
      <c r="C71" s="5"/>
      <c r="D71" s="1" t="s">
        <v>141</v>
      </c>
    </row>
    <row r="72" spans="1:4" x14ac:dyDescent="0.25">
      <c r="A72" s="3">
        <v>71</v>
      </c>
      <c r="B72" s="5"/>
      <c r="C72" s="5"/>
      <c r="D72" s="1" t="s">
        <v>141</v>
      </c>
    </row>
    <row r="73" spans="1:4" ht="15.75" thickBot="1" x14ac:dyDescent="0.3">
      <c r="A73" s="4">
        <v>72</v>
      </c>
      <c r="B73" s="6"/>
      <c r="C73" s="6"/>
      <c r="D73" s="2" t="s">
        <v>141</v>
      </c>
    </row>
  </sheetData>
  <conditionalFormatting sqref="D2:D73">
    <cfRule type="containsText" dxfId="7" priority="1" operator="containsText" text="In Progress">
      <formula>NOT(ISERROR(SEARCH("In Progress",D2)))</formula>
    </cfRule>
    <cfRule type="containsText" dxfId="6" priority="2" operator="containsText" text="Not Completed">
      <formula>NOT(ISERROR(SEARCH("Not Completed",D2)))</formula>
    </cfRule>
    <cfRule type="containsText" dxfId="5" priority="3" operator="containsText" text="Completed">
      <formula>NOT(ISERROR(SEARCH("Completed",D2)))</formula>
    </cfRule>
  </conditionalFormatting>
  <dataValidations count="1">
    <dataValidation type="list" allowBlank="1" showInputMessage="1" showErrorMessage="1" sqref="D2:D73" xr:uid="{54D7311A-9A73-4F6E-A814-EEA50D2ACEF2}">
      <formula1>"Completed, Not Completed, In progress"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D3F0-61EB-4766-A44E-A21AFDD747EA}">
  <dimension ref="A2:LD93"/>
  <sheetViews>
    <sheetView topLeftCell="C1" zoomScale="88" zoomScaleNormal="88" workbookViewId="0">
      <pane ySplit="8" topLeftCell="A9" activePane="bottomLeft" state="frozen"/>
      <selection pane="bottomLeft" activeCell="C10" sqref="C10"/>
    </sheetView>
  </sheetViews>
  <sheetFormatPr defaultColWidth="8.7109375" defaultRowHeight="15" x14ac:dyDescent="0.25"/>
  <cols>
    <col min="1" max="1" width="7.5703125" style="48" bestFit="1" customWidth="1"/>
    <col min="2" max="2" width="51.5703125" style="63" customWidth="1"/>
    <col min="3" max="3" width="24.7109375" style="48" customWidth="1"/>
    <col min="4" max="4" width="13.42578125" style="63" bestFit="1" customWidth="1"/>
    <col min="5" max="5" width="17.42578125" style="69" customWidth="1"/>
    <col min="6" max="6" width="12.5703125" style="70" bestFit="1" customWidth="1"/>
    <col min="7" max="7" width="25.42578125" style="70" customWidth="1"/>
    <col min="8" max="8" width="12.5703125" style="73" bestFit="1" customWidth="1"/>
    <col min="9" max="9" width="19.28515625" style="63" customWidth="1"/>
    <col min="10" max="10" width="10.140625" style="48" bestFit="1" customWidth="1"/>
    <col min="11" max="11" width="11.140625" style="48" bestFit="1" customWidth="1"/>
    <col min="12" max="12" width="12" style="48" bestFit="1" customWidth="1"/>
    <col min="13" max="16384" width="8.7109375" style="48"/>
  </cols>
  <sheetData>
    <row r="2" spans="1:12" x14ac:dyDescent="0.25">
      <c r="B2" s="106"/>
      <c r="C2" s="107"/>
      <c r="D2" s="107"/>
      <c r="E2" s="66"/>
    </row>
    <row r="3" spans="1:12" ht="27.95" customHeight="1" x14ac:dyDescent="0.25">
      <c r="B3" s="106"/>
      <c r="C3" s="108"/>
      <c r="D3" s="108"/>
      <c r="E3" s="67"/>
    </row>
    <row r="4" spans="1:12" x14ac:dyDescent="0.25">
      <c r="B4" s="106"/>
      <c r="C4" s="19"/>
      <c r="D4" s="62"/>
      <c r="E4" s="68"/>
    </row>
    <row r="7" spans="1:12" s="58" customFormat="1" x14ac:dyDescent="0.25">
      <c r="A7" s="48"/>
      <c r="B7" s="63"/>
      <c r="C7" s="48"/>
      <c r="D7" s="63"/>
      <c r="E7" s="69"/>
      <c r="F7" s="70"/>
      <c r="G7" s="70"/>
      <c r="H7" s="73"/>
      <c r="I7" s="63"/>
      <c r="J7" s="48"/>
      <c r="K7" s="48"/>
      <c r="L7" s="48"/>
    </row>
    <row r="8" spans="1:12" s="59" customFormat="1" ht="63" x14ac:dyDescent="0.25">
      <c r="A8" s="75" t="s">
        <v>2</v>
      </c>
      <c r="B8" s="75" t="s">
        <v>3</v>
      </c>
      <c r="C8" s="93" t="s">
        <v>4</v>
      </c>
      <c r="D8" s="75" t="s">
        <v>5</v>
      </c>
      <c r="E8" s="87" t="s">
        <v>6</v>
      </c>
      <c r="F8" s="88" t="s">
        <v>7</v>
      </c>
      <c r="G8" s="88" t="s">
        <v>142</v>
      </c>
      <c r="H8" s="89" t="s">
        <v>8</v>
      </c>
      <c r="I8" s="90" t="s">
        <v>140</v>
      </c>
    </row>
    <row r="9" spans="1:12" s="59" customFormat="1" ht="20.25" x14ac:dyDescent="0.25">
      <c r="A9" s="74"/>
      <c r="B9" s="65" t="s">
        <v>9</v>
      </c>
      <c r="C9" s="74"/>
      <c r="D9" s="75"/>
      <c r="E9" s="76"/>
      <c r="F9" s="77"/>
      <c r="G9" s="77"/>
      <c r="H9" s="86"/>
      <c r="I9" s="91"/>
    </row>
    <row r="10" spans="1:12" x14ac:dyDescent="0.25">
      <c r="A10" s="15">
        <v>1</v>
      </c>
      <c r="B10" s="64" t="s">
        <v>10</v>
      </c>
      <c r="C10" s="25" t="s">
        <v>11</v>
      </c>
      <c r="D10" s="45" t="s">
        <v>12</v>
      </c>
      <c r="E10" s="57">
        <v>365</v>
      </c>
      <c r="F10" s="71">
        <v>46157</v>
      </c>
      <c r="G10" s="71"/>
      <c r="H10" s="72">
        <f t="shared" ref="H10:H41" si="0">IF(AND(F10&lt;&gt;"",E10&lt;&gt;""), F10 + E10, "")</f>
        <v>46522</v>
      </c>
      <c r="I10" s="78" t="str">
        <f ca="1">IF(AND(G10&lt;&gt;"",G10&lt;=TODAY()),IF(G10&gt;F10,"Completed Late","Completed"),IF(F10="","No Date",IF(F10&lt;TODAY(),"Overdue",IF(F10-TODAY()&lt;=7,"Due This Week",IF(F10-TODAY()&lt;=30,"Due This Month","Active")))))</f>
        <v>Overdue</v>
      </c>
      <c r="J10" s="80"/>
      <c r="K10" s="79"/>
      <c r="L10" s="60"/>
    </row>
    <row r="11" spans="1:12" x14ac:dyDescent="0.25">
      <c r="A11" s="15">
        <v>2</v>
      </c>
      <c r="B11" s="64" t="s">
        <v>14</v>
      </c>
      <c r="C11" s="25" t="s">
        <v>11</v>
      </c>
      <c r="D11" s="45" t="s">
        <v>15</v>
      </c>
      <c r="E11" s="57">
        <f>365/4</f>
        <v>91.25</v>
      </c>
      <c r="F11" s="71">
        <v>46203</v>
      </c>
      <c r="G11" s="71"/>
      <c r="H11" s="72">
        <f t="shared" si="0"/>
        <v>46294.25</v>
      </c>
      <c r="I11" s="78" t="str">
        <f t="shared" ref="I11:I73" ca="1" si="1">IF(AND(G11&lt;&gt;"",G11&lt;=TODAY()),IF(G11&gt;F11,"Completed Late","Completed"),IF(F11="","No Date",IF(F11&lt;TODAY(),"Overdue",IF(F11-TODAY()&lt;=7,"Due This Week",IF(F11-TODAY()&lt;=30,"Due This Month","Active")))))</f>
        <v>Active</v>
      </c>
    </row>
    <row r="12" spans="1:12" x14ac:dyDescent="0.25">
      <c r="A12" s="15">
        <v>3</v>
      </c>
      <c r="B12" s="64" t="s">
        <v>17</v>
      </c>
      <c r="C12" s="25" t="s">
        <v>11</v>
      </c>
      <c r="D12" s="45" t="s">
        <v>18</v>
      </c>
      <c r="E12" s="57">
        <v>365</v>
      </c>
      <c r="F12" s="71">
        <v>46164</v>
      </c>
      <c r="G12" s="71"/>
      <c r="H12" s="72">
        <f t="shared" si="0"/>
        <v>46529</v>
      </c>
      <c r="I12" s="78" t="str">
        <f t="shared" ca="1" si="1"/>
        <v>Due This Week</v>
      </c>
      <c r="L12" s="60"/>
    </row>
    <row r="13" spans="1:12" x14ac:dyDescent="0.25">
      <c r="A13" s="15">
        <v>4</v>
      </c>
      <c r="B13" s="64" t="s">
        <v>19</v>
      </c>
      <c r="C13" s="25" t="s">
        <v>11</v>
      </c>
      <c r="D13" s="45" t="s">
        <v>20</v>
      </c>
      <c r="E13" s="57">
        <v>365</v>
      </c>
      <c r="F13" s="71">
        <v>46157</v>
      </c>
      <c r="G13" s="71"/>
      <c r="H13" s="72">
        <f t="shared" si="0"/>
        <v>46522</v>
      </c>
      <c r="I13" s="78" t="str">
        <f t="shared" ca="1" si="1"/>
        <v>Overdue</v>
      </c>
    </row>
    <row r="14" spans="1:12" x14ac:dyDescent="0.25">
      <c r="A14" s="15">
        <v>5</v>
      </c>
      <c r="B14" s="64" t="s">
        <v>21</v>
      </c>
      <c r="C14" s="25" t="s">
        <v>11</v>
      </c>
      <c r="D14" s="45" t="s">
        <v>22</v>
      </c>
      <c r="E14" s="57">
        <v>365</v>
      </c>
      <c r="F14" s="71">
        <v>46157</v>
      </c>
      <c r="G14" s="71"/>
      <c r="H14" s="72">
        <f t="shared" si="0"/>
        <v>46522</v>
      </c>
      <c r="I14" s="78" t="str">
        <f t="shared" ca="1" si="1"/>
        <v>Overdue</v>
      </c>
    </row>
    <row r="15" spans="1:12" x14ac:dyDescent="0.25">
      <c r="A15" s="15">
        <v>6</v>
      </c>
      <c r="B15" s="64" t="s">
        <v>24</v>
      </c>
      <c r="C15" s="25" t="s">
        <v>11</v>
      </c>
      <c r="D15" s="45" t="s">
        <v>25</v>
      </c>
      <c r="E15" s="57">
        <v>365</v>
      </c>
      <c r="F15" s="71">
        <v>46151</v>
      </c>
      <c r="G15" s="71"/>
      <c r="H15" s="72">
        <f t="shared" si="0"/>
        <v>46516</v>
      </c>
      <c r="I15" s="78" t="str">
        <f t="shared" ca="1" si="1"/>
        <v>Overdue</v>
      </c>
      <c r="L15" s="60"/>
    </row>
    <row r="16" spans="1:12" x14ac:dyDescent="0.25">
      <c r="A16" s="15">
        <v>7</v>
      </c>
      <c r="B16" s="64" t="s">
        <v>26</v>
      </c>
      <c r="C16" s="25" t="s">
        <v>11</v>
      </c>
      <c r="D16" s="45" t="s">
        <v>12</v>
      </c>
      <c r="E16" s="57">
        <v>365</v>
      </c>
      <c r="F16" s="71">
        <v>46150</v>
      </c>
      <c r="G16" s="71"/>
      <c r="H16" s="72">
        <f t="shared" si="0"/>
        <v>46515</v>
      </c>
      <c r="I16" s="78" t="str">
        <f t="shared" ca="1" si="1"/>
        <v>Overdue</v>
      </c>
    </row>
    <row r="17" spans="1:9" x14ac:dyDescent="0.25">
      <c r="A17" s="15">
        <v>8</v>
      </c>
      <c r="B17" s="64" t="s">
        <v>27</v>
      </c>
      <c r="C17" s="25" t="s">
        <v>11</v>
      </c>
      <c r="D17" s="45" t="s">
        <v>22</v>
      </c>
      <c r="E17" s="57">
        <f>365/4</f>
        <v>91.25</v>
      </c>
      <c r="F17" s="71">
        <v>46164</v>
      </c>
      <c r="G17" s="71"/>
      <c r="H17" s="72">
        <f t="shared" si="0"/>
        <v>46255.25</v>
      </c>
      <c r="I17" s="78" t="str">
        <f t="shared" ca="1" si="1"/>
        <v>Due This Week</v>
      </c>
    </row>
    <row r="18" spans="1:9" x14ac:dyDescent="0.25">
      <c r="A18" s="15">
        <v>9</v>
      </c>
      <c r="B18" s="64" t="s">
        <v>28</v>
      </c>
      <c r="C18" s="25" t="s">
        <v>11</v>
      </c>
      <c r="D18" s="45" t="s">
        <v>29</v>
      </c>
      <c r="E18" s="57">
        <f>365/4</f>
        <v>91.25</v>
      </c>
      <c r="F18" s="71">
        <v>46157</v>
      </c>
      <c r="G18" s="71"/>
      <c r="H18" s="72">
        <f t="shared" si="0"/>
        <v>46248.25</v>
      </c>
      <c r="I18" s="78" t="str">
        <f t="shared" ca="1" si="1"/>
        <v>Overdue</v>
      </c>
    </row>
    <row r="19" spans="1:9" ht="20.25" x14ac:dyDescent="0.25">
      <c r="A19" s="15"/>
      <c r="B19" s="65" t="s">
        <v>30</v>
      </c>
      <c r="C19" s="25"/>
      <c r="D19" s="45"/>
      <c r="E19" s="57"/>
      <c r="F19" s="71"/>
      <c r="G19" s="71"/>
      <c r="H19" s="72" t="str">
        <f t="shared" si="0"/>
        <v/>
      </c>
      <c r="I19" s="78" t="str">
        <f t="shared" ca="1" si="1"/>
        <v>No Date</v>
      </c>
    </row>
    <row r="20" spans="1:9" x14ac:dyDescent="0.25">
      <c r="A20" s="15">
        <v>1</v>
      </c>
      <c r="B20" s="45" t="s">
        <v>31</v>
      </c>
      <c r="C20" s="25" t="s">
        <v>11</v>
      </c>
      <c r="D20" s="45" t="s">
        <v>32</v>
      </c>
      <c r="E20" s="57">
        <f>365/2</f>
        <v>182.5</v>
      </c>
      <c r="F20" s="71">
        <v>46171</v>
      </c>
      <c r="G20" s="71"/>
      <c r="H20" s="72">
        <f t="shared" si="0"/>
        <v>46353.5</v>
      </c>
      <c r="I20" s="78" t="str">
        <f t="shared" ca="1" si="1"/>
        <v>Due This Month</v>
      </c>
    </row>
    <row r="21" spans="1:9" x14ac:dyDescent="0.25">
      <c r="A21" s="15">
        <v>2</v>
      </c>
      <c r="B21" s="45" t="s">
        <v>33</v>
      </c>
      <c r="C21" s="25" t="s">
        <v>11</v>
      </c>
      <c r="D21" s="45" t="s">
        <v>22</v>
      </c>
      <c r="E21" s="57">
        <f>365/2</f>
        <v>182.5</v>
      </c>
      <c r="F21" s="71">
        <v>46192</v>
      </c>
      <c r="G21" s="71"/>
      <c r="H21" s="72">
        <f t="shared" si="0"/>
        <v>46374.5</v>
      </c>
      <c r="I21" s="78" t="str">
        <f t="shared" ca="1" si="1"/>
        <v>Due This Month</v>
      </c>
    </row>
    <row r="22" spans="1:9" x14ac:dyDescent="0.25">
      <c r="A22" s="15">
        <v>3</v>
      </c>
      <c r="B22" s="45" t="s">
        <v>34</v>
      </c>
      <c r="C22" s="25" t="s">
        <v>11</v>
      </c>
      <c r="D22" s="45" t="s">
        <v>32</v>
      </c>
      <c r="E22" s="57">
        <f>365/2</f>
        <v>182.5</v>
      </c>
      <c r="F22" s="71">
        <v>46171</v>
      </c>
      <c r="G22" s="71"/>
      <c r="H22" s="72">
        <f t="shared" si="0"/>
        <v>46353.5</v>
      </c>
      <c r="I22" s="78" t="str">
        <f t="shared" ca="1" si="1"/>
        <v>Due This Month</v>
      </c>
    </row>
    <row r="23" spans="1:9" x14ac:dyDescent="0.25">
      <c r="A23" s="15">
        <v>4</v>
      </c>
      <c r="B23" s="45" t="s">
        <v>35</v>
      </c>
      <c r="C23" s="25" t="s">
        <v>11</v>
      </c>
      <c r="D23" s="45" t="s">
        <v>12</v>
      </c>
      <c r="E23" s="57">
        <v>60</v>
      </c>
      <c r="F23" s="71">
        <v>46157</v>
      </c>
      <c r="G23" s="71"/>
      <c r="H23" s="72">
        <f t="shared" si="0"/>
        <v>46217</v>
      </c>
      <c r="I23" s="78" t="str">
        <f t="shared" ca="1" si="1"/>
        <v>Overdue</v>
      </c>
    </row>
    <row r="24" spans="1:9" x14ac:dyDescent="0.25">
      <c r="A24" s="15">
        <v>5</v>
      </c>
      <c r="B24" s="45" t="s">
        <v>36</v>
      </c>
      <c r="C24" s="25" t="s">
        <v>11</v>
      </c>
      <c r="D24" s="45" t="s">
        <v>18</v>
      </c>
      <c r="E24" s="57">
        <v>60</v>
      </c>
      <c r="F24" s="71">
        <v>46164</v>
      </c>
      <c r="G24" s="71"/>
      <c r="H24" s="72">
        <f t="shared" si="0"/>
        <v>46224</v>
      </c>
      <c r="I24" s="78" t="str">
        <f t="shared" ca="1" si="1"/>
        <v>Due This Week</v>
      </c>
    </row>
    <row r="25" spans="1:9" x14ac:dyDescent="0.25">
      <c r="A25" s="15">
        <v>6</v>
      </c>
      <c r="B25" s="45" t="s">
        <v>37</v>
      </c>
      <c r="C25" s="25" t="s">
        <v>11</v>
      </c>
      <c r="D25" s="45" t="s">
        <v>38</v>
      </c>
      <c r="E25" s="57">
        <f>365/2</f>
        <v>182.5</v>
      </c>
      <c r="F25" s="71">
        <v>46164</v>
      </c>
      <c r="G25" s="71"/>
      <c r="H25" s="72">
        <f t="shared" si="0"/>
        <v>46346.5</v>
      </c>
      <c r="I25" s="78" t="str">
        <f t="shared" ca="1" si="1"/>
        <v>Due This Week</v>
      </c>
    </row>
    <row r="26" spans="1:9" x14ac:dyDescent="0.25">
      <c r="A26" s="15">
        <v>7</v>
      </c>
      <c r="B26" s="45" t="s">
        <v>39</v>
      </c>
      <c r="C26" s="25" t="s">
        <v>11</v>
      </c>
      <c r="D26" s="45" t="s">
        <v>40</v>
      </c>
      <c r="E26" s="57">
        <v>365</v>
      </c>
      <c r="F26" s="71">
        <v>46213</v>
      </c>
      <c r="G26" s="71"/>
      <c r="H26" s="72">
        <f t="shared" si="0"/>
        <v>46578</v>
      </c>
      <c r="I26" s="78" t="str">
        <f t="shared" ca="1" si="1"/>
        <v>Active</v>
      </c>
    </row>
    <row r="27" spans="1:9" x14ac:dyDescent="0.25">
      <c r="A27" s="15">
        <v>8</v>
      </c>
      <c r="B27" s="45" t="s">
        <v>41</v>
      </c>
      <c r="C27" s="25" t="s">
        <v>11</v>
      </c>
      <c r="D27" s="45" t="s">
        <v>32</v>
      </c>
      <c r="E27" s="57">
        <f>365/2</f>
        <v>182.5</v>
      </c>
      <c r="F27" s="71">
        <v>46171</v>
      </c>
      <c r="G27" s="71"/>
      <c r="H27" s="72">
        <f t="shared" si="0"/>
        <v>46353.5</v>
      </c>
      <c r="I27" s="78" t="str">
        <f t="shared" ca="1" si="1"/>
        <v>Due This Month</v>
      </c>
    </row>
    <row r="28" spans="1:9" x14ac:dyDescent="0.25">
      <c r="A28" s="15">
        <v>9</v>
      </c>
      <c r="B28" s="45" t="s">
        <v>42</v>
      </c>
      <c r="C28" s="25" t="s">
        <v>11</v>
      </c>
      <c r="D28" s="45" t="s">
        <v>43</v>
      </c>
      <c r="E28" s="57">
        <v>365</v>
      </c>
      <c r="F28" s="71">
        <v>46171</v>
      </c>
      <c r="G28" s="71"/>
      <c r="H28" s="72">
        <f t="shared" si="0"/>
        <v>46536</v>
      </c>
      <c r="I28" s="78" t="str">
        <f t="shared" ca="1" si="1"/>
        <v>Due This Month</v>
      </c>
    </row>
    <row r="29" spans="1:9" x14ac:dyDescent="0.25">
      <c r="A29" s="15">
        <v>10</v>
      </c>
      <c r="B29" s="45" t="s">
        <v>44</v>
      </c>
      <c r="C29" s="25" t="s">
        <v>11</v>
      </c>
      <c r="D29" s="45" t="s">
        <v>32</v>
      </c>
      <c r="E29" s="57">
        <f t="shared" ref="E29:E40" si="2">365/2</f>
        <v>182.5</v>
      </c>
      <c r="F29" s="71">
        <v>46171</v>
      </c>
      <c r="G29" s="71"/>
      <c r="H29" s="72">
        <f t="shared" si="0"/>
        <v>46353.5</v>
      </c>
      <c r="I29" s="78" t="str">
        <f t="shared" ca="1" si="1"/>
        <v>Due This Month</v>
      </c>
    </row>
    <row r="30" spans="1:9" x14ac:dyDescent="0.25">
      <c r="A30" s="15">
        <v>11</v>
      </c>
      <c r="B30" s="45" t="s">
        <v>45</v>
      </c>
      <c r="C30" s="25" t="s">
        <v>11</v>
      </c>
      <c r="D30" s="45" t="s">
        <v>43</v>
      </c>
      <c r="E30" s="57">
        <f t="shared" si="2"/>
        <v>182.5</v>
      </c>
      <c r="F30" s="71">
        <v>46171</v>
      </c>
      <c r="G30" s="71"/>
      <c r="H30" s="72">
        <f t="shared" si="0"/>
        <v>46353.5</v>
      </c>
      <c r="I30" s="78" t="str">
        <f t="shared" ca="1" si="1"/>
        <v>Due This Month</v>
      </c>
    </row>
    <row r="31" spans="1:9" x14ac:dyDescent="0.25">
      <c r="A31" s="15">
        <v>12</v>
      </c>
      <c r="B31" s="45" t="s">
        <v>46</v>
      </c>
      <c r="C31" s="25" t="s">
        <v>11</v>
      </c>
      <c r="D31" s="45" t="s">
        <v>18</v>
      </c>
      <c r="E31" s="57">
        <f t="shared" si="2"/>
        <v>182.5</v>
      </c>
      <c r="F31" s="71">
        <v>46148</v>
      </c>
      <c r="G31" s="71"/>
      <c r="H31" s="72">
        <f t="shared" si="0"/>
        <v>46330.5</v>
      </c>
      <c r="I31" s="78" t="str">
        <f t="shared" ca="1" si="1"/>
        <v>Overdue</v>
      </c>
    </row>
    <row r="32" spans="1:9" x14ac:dyDescent="0.25">
      <c r="A32" s="15">
        <v>13</v>
      </c>
      <c r="B32" s="45" t="s">
        <v>47</v>
      </c>
      <c r="C32" s="25" t="s">
        <v>11</v>
      </c>
      <c r="D32" s="45" t="s">
        <v>32</v>
      </c>
      <c r="E32" s="57">
        <f t="shared" si="2"/>
        <v>182.5</v>
      </c>
      <c r="F32" s="71">
        <v>46171</v>
      </c>
      <c r="G32" s="71"/>
      <c r="H32" s="72">
        <f t="shared" si="0"/>
        <v>46353.5</v>
      </c>
      <c r="I32" s="78" t="str">
        <f t="shared" ca="1" si="1"/>
        <v>Due This Month</v>
      </c>
    </row>
    <row r="33" spans="1:9" x14ac:dyDescent="0.25">
      <c r="A33" s="15">
        <v>14</v>
      </c>
      <c r="B33" s="45" t="s">
        <v>48</v>
      </c>
      <c r="C33" s="25" t="s">
        <v>11</v>
      </c>
      <c r="D33" s="45" t="s">
        <v>49</v>
      </c>
      <c r="E33" s="57">
        <f t="shared" si="2"/>
        <v>182.5</v>
      </c>
      <c r="F33" s="71">
        <v>46157</v>
      </c>
      <c r="G33" s="71"/>
      <c r="H33" s="72">
        <f t="shared" si="0"/>
        <v>46339.5</v>
      </c>
      <c r="I33" s="78" t="str">
        <f t="shared" ca="1" si="1"/>
        <v>Overdue</v>
      </c>
    </row>
    <row r="34" spans="1:9" x14ac:dyDescent="0.25">
      <c r="A34" s="15">
        <v>15</v>
      </c>
      <c r="B34" s="45" t="s">
        <v>50</v>
      </c>
      <c r="C34" s="25" t="s">
        <v>11</v>
      </c>
      <c r="D34" s="45" t="s">
        <v>51</v>
      </c>
      <c r="E34" s="57">
        <f t="shared" si="2"/>
        <v>182.5</v>
      </c>
      <c r="F34" s="71">
        <v>46164</v>
      </c>
      <c r="G34" s="71"/>
      <c r="H34" s="72">
        <f t="shared" si="0"/>
        <v>46346.5</v>
      </c>
      <c r="I34" s="78" t="str">
        <f t="shared" ca="1" si="1"/>
        <v>Due This Week</v>
      </c>
    </row>
    <row r="35" spans="1:9" x14ac:dyDescent="0.25">
      <c r="A35" s="15">
        <v>16</v>
      </c>
      <c r="B35" s="45" t="s">
        <v>52</v>
      </c>
      <c r="C35" s="25" t="s">
        <v>11</v>
      </c>
      <c r="D35" s="45" t="s">
        <v>51</v>
      </c>
      <c r="E35" s="57">
        <f t="shared" si="2"/>
        <v>182.5</v>
      </c>
      <c r="F35" s="71">
        <v>46164</v>
      </c>
      <c r="G35" s="71"/>
      <c r="H35" s="72">
        <f t="shared" si="0"/>
        <v>46346.5</v>
      </c>
      <c r="I35" s="78" t="str">
        <f t="shared" ca="1" si="1"/>
        <v>Due This Week</v>
      </c>
    </row>
    <row r="36" spans="1:9" x14ac:dyDescent="0.25">
      <c r="A36" s="15">
        <v>17</v>
      </c>
      <c r="B36" s="45" t="s">
        <v>53</v>
      </c>
      <c r="C36" s="25" t="s">
        <v>11</v>
      </c>
      <c r="D36" s="45" t="s">
        <v>51</v>
      </c>
      <c r="E36" s="57">
        <f t="shared" si="2"/>
        <v>182.5</v>
      </c>
      <c r="F36" s="71">
        <v>46164</v>
      </c>
      <c r="G36" s="71"/>
      <c r="H36" s="72">
        <f t="shared" si="0"/>
        <v>46346.5</v>
      </c>
      <c r="I36" s="78" t="str">
        <f t="shared" ca="1" si="1"/>
        <v>Due This Week</v>
      </c>
    </row>
    <row r="37" spans="1:9" x14ac:dyDescent="0.25">
      <c r="A37" s="15">
        <v>18</v>
      </c>
      <c r="B37" s="45" t="s">
        <v>54</v>
      </c>
      <c r="C37" s="25" t="s">
        <v>11</v>
      </c>
      <c r="D37" s="45" t="s">
        <v>25</v>
      </c>
      <c r="E37" s="57">
        <f t="shared" si="2"/>
        <v>182.5</v>
      </c>
      <c r="F37" s="71">
        <v>46164</v>
      </c>
      <c r="G37" s="71"/>
      <c r="H37" s="72">
        <f t="shared" si="0"/>
        <v>46346.5</v>
      </c>
      <c r="I37" s="78" t="str">
        <f t="shared" ca="1" si="1"/>
        <v>Due This Week</v>
      </c>
    </row>
    <row r="38" spans="1:9" x14ac:dyDescent="0.25">
      <c r="A38" s="15">
        <v>19</v>
      </c>
      <c r="B38" s="45" t="s">
        <v>55</v>
      </c>
      <c r="C38" s="25" t="s">
        <v>11</v>
      </c>
      <c r="D38" s="45" t="s">
        <v>20</v>
      </c>
      <c r="E38" s="57">
        <f t="shared" si="2"/>
        <v>182.5</v>
      </c>
      <c r="F38" s="71">
        <v>46171</v>
      </c>
      <c r="G38" s="71"/>
      <c r="H38" s="72">
        <f t="shared" si="0"/>
        <v>46353.5</v>
      </c>
      <c r="I38" s="78" t="str">
        <f t="shared" ca="1" si="1"/>
        <v>Due This Month</v>
      </c>
    </row>
    <row r="39" spans="1:9" x14ac:dyDescent="0.25">
      <c r="A39" s="15">
        <v>20</v>
      </c>
      <c r="B39" s="45" t="s">
        <v>56</v>
      </c>
      <c r="C39" s="25" t="s">
        <v>11</v>
      </c>
      <c r="D39" s="45" t="s">
        <v>49</v>
      </c>
      <c r="E39" s="57">
        <f t="shared" si="2"/>
        <v>182.5</v>
      </c>
      <c r="F39" s="71">
        <v>46157</v>
      </c>
      <c r="G39" s="71"/>
      <c r="H39" s="72">
        <f t="shared" si="0"/>
        <v>46339.5</v>
      </c>
      <c r="I39" s="78" t="str">
        <f t="shared" ca="1" si="1"/>
        <v>Overdue</v>
      </c>
    </row>
    <row r="40" spans="1:9" x14ac:dyDescent="0.25">
      <c r="A40" s="15">
        <v>21</v>
      </c>
      <c r="B40" s="45" t="s">
        <v>57</v>
      </c>
      <c r="C40" s="25" t="s">
        <v>11</v>
      </c>
      <c r="D40" s="45" t="s">
        <v>58</v>
      </c>
      <c r="E40" s="57">
        <f t="shared" si="2"/>
        <v>182.5</v>
      </c>
      <c r="F40" s="71">
        <v>46157</v>
      </c>
      <c r="G40" s="71"/>
      <c r="H40" s="72">
        <f t="shared" si="0"/>
        <v>46339.5</v>
      </c>
      <c r="I40" s="78" t="str">
        <f t="shared" ca="1" si="1"/>
        <v>Overdue</v>
      </c>
    </row>
    <row r="41" spans="1:9" x14ac:dyDescent="0.25">
      <c r="A41" s="15">
        <v>22</v>
      </c>
      <c r="B41" s="45" t="s">
        <v>156</v>
      </c>
      <c r="C41" s="25" t="s">
        <v>11</v>
      </c>
      <c r="D41" s="45" t="s">
        <v>38</v>
      </c>
      <c r="E41" s="57">
        <v>365</v>
      </c>
      <c r="F41" s="71">
        <v>46157</v>
      </c>
      <c r="G41" s="71"/>
      <c r="H41" s="72">
        <f t="shared" si="0"/>
        <v>46522</v>
      </c>
      <c r="I41" s="78" t="str">
        <f t="shared" ca="1" si="1"/>
        <v>Overdue</v>
      </c>
    </row>
    <row r="42" spans="1:9" x14ac:dyDescent="0.25">
      <c r="A42" s="15">
        <v>23</v>
      </c>
      <c r="B42" s="45" t="s">
        <v>60</v>
      </c>
      <c r="C42" s="25" t="s">
        <v>11</v>
      </c>
      <c r="D42" s="45" t="s">
        <v>61</v>
      </c>
      <c r="E42" s="57">
        <f>365/4</f>
        <v>91.25</v>
      </c>
      <c r="F42" s="71">
        <v>46188</v>
      </c>
      <c r="G42" s="71"/>
      <c r="H42" s="72">
        <f t="shared" ref="H42:H73" si="3">IF(AND(F42&lt;&gt;"",E42&lt;&gt;""), F42 + E42, "")</f>
        <v>46279.25</v>
      </c>
      <c r="I42" s="78" t="str">
        <f t="shared" ca="1" si="1"/>
        <v>Due This Month</v>
      </c>
    </row>
    <row r="43" spans="1:9" x14ac:dyDescent="0.25">
      <c r="A43" s="15">
        <v>24</v>
      </c>
      <c r="B43" s="45" t="s">
        <v>62</v>
      </c>
      <c r="C43" s="30" t="s">
        <v>11</v>
      </c>
      <c r="D43" s="45" t="s">
        <v>63</v>
      </c>
      <c r="E43" s="57">
        <f>365/2</f>
        <v>182.5</v>
      </c>
      <c r="F43" s="71">
        <v>46164</v>
      </c>
      <c r="G43" s="71"/>
      <c r="H43" s="72">
        <f t="shared" si="3"/>
        <v>46346.5</v>
      </c>
      <c r="I43" s="78" t="str">
        <f t="shared" ca="1" si="1"/>
        <v>Due This Week</v>
      </c>
    </row>
    <row r="44" spans="1:9" x14ac:dyDescent="0.25">
      <c r="A44" s="15">
        <v>25</v>
      </c>
      <c r="B44" s="45" t="s">
        <v>64</v>
      </c>
      <c r="C44" s="25" t="s">
        <v>11</v>
      </c>
      <c r="D44" s="45" t="s">
        <v>18</v>
      </c>
      <c r="E44" s="57">
        <v>365</v>
      </c>
      <c r="F44" s="71">
        <v>46164</v>
      </c>
      <c r="G44" s="71"/>
      <c r="H44" s="72">
        <f t="shared" si="3"/>
        <v>46529</v>
      </c>
      <c r="I44" s="78" t="str">
        <f t="shared" ca="1" si="1"/>
        <v>Due This Week</v>
      </c>
    </row>
    <row r="45" spans="1:9" x14ac:dyDescent="0.25">
      <c r="A45" s="15">
        <v>26</v>
      </c>
      <c r="B45" s="45" t="s">
        <v>65</v>
      </c>
      <c r="C45" s="25" t="s">
        <v>11</v>
      </c>
      <c r="D45" s="45" t="s">
        <v>49</v>
      </c>
      <c r="E45" s="57">
        <v>365</v>
      </c>
      <c r="F45" s="71">
        <v>46164</v>
      </c>
      <c r="G45" s="71"/>
      <c r="H45" s="72">
        <f t="shared" si="3"/>
        <v>46529</v>
      </c>
      <c r="I45" s="78" t="str">
        <f t="shared" ca="1" si="1"/>
        <v>Due This Week</v>
      </c>
    </row>
    <row r="46" spans="1:9" x14ac:dyDescent="0.25">
      <c r="A46" s="15">
        <v>27</v>
      </c>
      <c r="B46" s="45" t="s">
        <v>66</v>
      </c>
      <c r="C46" s="30" t="s">
        <v>11</v>
      </c>
      <c r="D46" s="45" t="s">
        <v>32</v>
      </c>
      <c r="E46" s="57">
        <v>365</v>
      </c>
      <c r="F46" s="71">
        <v>46171</v>
      </c>
      <c r="G46" s="71"/>
      <c r="H46" s="72">
        <f t="shared" si="3"/>
        <v>46536</v>
      </c>
      <c r="I46" s="78" t="str">
        <f t="shared" ca="1" si="1"/>
        <v>Due This Month</v>
      </c>
    </row>
    <row r="47" spans="1:9" x14ac:dyDescent="0.25">
      <c r="A47" s="15">
        <v>28</v>
      </c>
      <c r="B47" s="45" t="s">
        <v>67</v>
      </c>
      <c r="C47" s="25" t="s">
        <v>11</v>
      </c>
      <c r="D47" s="45" t="s">
        <v>51</v>
      </c>
      <c r="E47" s="57">
        <v>365</v>
      </c>
      <c r="F47" s="71">
        <v>46171</v>
      </c>
      <c r="G47" s="71"/>
      <c r="H47" s="72">
        <f t="shared" si="3"/>
        <v>46536</v>
      </c>
      <c r="I47" s="78" t="str">
        <f t="shared" ca="1" si="1"/>
        <v>Due This Month</v>
      </c>
    </row>
    <row r="48" spans="1:9" x14ac:dyDescent="0.25">
      <c r="A48" s="15">
        <v>29</v>
      </c>
      <c r="B48" s="45" t="s">
        <v>153</v>
      </c>
      <c r="C48" s="25" t="s">
        <v>11</v>
      </c>
      <c r="D48" s="45" t="s">
        <v>59</v>
      </c>
      <c r="E48" s="57">
        <f>365/2</f>
        <v>182.5</v>
      </c>
      <c r="F48" s="71">
        <v>46157</v>
      </c>
      <c r="G48" s="71"/>
      <c r="H48" s="72">
        <f t="shared" si="3"/>
        <v>46339.5</v>
      </c>
      <c r="I48" s="78" t="str">
        <f t="shared" ca="1" si="1"/>
        <v>Overdue</v>
      </c>
    </row>
    <row r="49" spans="1:9" x14ac:dyDescent="0.25">
      <c r="A49" s="15">
        <v>30</v>
      </c>
      <c r="B49" s="45" t="s">
        <v>68</v>
      </c>
      <c r="C49" s="25" t="s">
        <v>11</v>
      </c>
      <c r="D49" s="45" t="s">
        <v>69</v>
      </c>
      <c r="E49" s="57">
        <f>365/2</f>
        <v>182.5</v>
      </c>
      <c r="F49" s="71">
        <v>46164</v>
      </c>
      <c r="G49" s="71"/>
      <c r="H49" s="72">
        <f t="shared" si="3"/>
        <v>46346.5</v>
      </c>
      <c r="I49" s="78" t="str">
        <f t="shared" ca="1" si="1"/>
        <v>Due This Week</v>
      </c>
    </row>
    <row r="50" spans="1:9" x14ac:dyDescent="0.25">
      <c r="A50" s="15">
        <v>31</v>
      </c>
      <c r="B50" s="45" t="s">
        <v>70</v>
      </c>
      <c r="C50" s="25" t="s">
        <v>11</v>
      </c>
      <c r="D50" s="45" t="s">
        <v>61</v>
      </c>
      <c r="E50" s="57">
        <f>365/2</f>
        <v>182.5</v>
      </c>
      <c r="F50" s="71">
        <v>46167</v>
      </c>
      <c r="G50" s="71"/>
      <c r="H50" s="72">
        <f t="shared" si="3"/>
        <v>46349.5</v>
      </c>
      <c r="I50" s="78" t="str">
        <f t="shared" ca="1" si="1"/>
        <v>Due This Week</v>
      </c>
    </row>
    <row r="51" spans="1:9" x14ac:dyDescent="0.25">
      <c r="A51" s="15">
        <v>32</v>
      </c>
      <c r="B51" s="45" t="s">
        <v>71</v>
      </c>
      <c r="C51" s="25" t="s">
        <v>11</v>
      </c>
      <c r="D51" s="45" t="s">
        <v>69</v>
      </c>
      <c r="E51" s="57">
        <f>365/2</f>
        <v>182.5</v>
      </c>
      <c r="F51" s="71"/>
      <c r="G51" s="71"/>
      <c r="H51" s="72" t="str">
        <f t="shared" si="3"/>
        <v/>
      </c>
      <c r="I51" s="78" t="str">
        <f t="shared" ca="1" si="1"/>
        <v>No Date</v>
      </c>
    </row>
    <row r="52" spans="1:9" x14ac:dyDescent="0.25">
      <c r="A52" s="15">
        <v>33</v>
      </c>
      <c r="B52" s="45" t="s">
        <v>72</v>
      </c>
      <c r="C52" s="25" t="s">
        <v>11</v>
      </c>
      <c r="D52" s="45" t="s">
        <v>25</v>
      </c>
      <c r="E52" s="57">
        <f>365/2</f>
        <v>182.5</v>
      </c>
      <c r="F52" s="71">
        <v>46164</v>
      </c>
      <c r="G52" s="71"/>
      <c r="H52" s="72">
        <f t="shared" si="3"/>
        <v>46346.5</v>
      </c>
      <c r="I52" s="78" t="str">
        <f t="shared" ca="1" si="1"/>
        <v>Due This Week</v>
      </c>
    </row>
    <row r="53" spans="1:9" x14ac:dyDescent="0.25">
      <c r="A53" s="15">
        <v>34</v>
      </c>
      <c r="B53" s="45" t="s">
        <v>73</v>
      </c>
      <c r="C53" s="25" t="s">
        <v>11</v>
      </c>
      <c r="D53" s="45" t="s">
        <v>38</v>
      </c>
      <c r="E53" s="57">
        <v>365</v>
      </c>
      <c r="F53" s="71">
        <v>46164</v>
      </c>
      <c r="G53" s="71"/>
      <c r="H53" s="72">
        <f t="shared" si="3"/>
        <v>46529</v>
      </c>
      <c r="I53" s="78" t="str">
        <f t="shared" ca="1" si="1"/>
        <v>Due This Week</v>
      </c>
    </row>
    <row r="54" spans="1:9" x14ac:dyDescent="0.25">
      <c r="A54" s="15">
        <v>35</v>
      </c>
      <c r="B54" s="45" t="s">
        <v>74</v>
      </c>
      <c r="C54" s="25" t="s">
        <v>11</v>
      </c>
      <c r="D54" s="45" t="s">
        <v>63</v>
      </c>
      <c r="E54" s="57">
        <v>365</v>
      </c>
      <c r="F54" s="71">
        <v>46164</v>
      </c>
      <c r="G54" s="71"/>
      <c r="H54" s="72">
        <f t="shared" si="3"/>
        <v>46529</v>
      </c>
      <c r="I54" s="78" t="str">
        <f t="shared" ca="1" si="1"/>
        <v>Due This Week</v>
      </c>
    </row>
    <row r="55" spans="1:9" x14ac:dyDescent="0.25">
      <c r="A55" s="15">
        <v>36</v>
      </c>
      <c r="B55" s="45" t="s">
        <v>75</v>
      </c>
      <c r="C55" s="30" t="s">
        <v>11</v>
      </c>
      <c r="D55" s="45" t="s">
        <v>51</v>
      </c>
      <c r="E55" s="57">
        <f>365/4</f>
        <v>91.25</v>
      </c>
      <c r="F55" s="71">
        <v>46164</v>
      </c>
      <c r="G55" s="71"/>
      <c r="H55" s="72">
        <f t="shared" si="3"/>
        <v>46255.25</v>
      </c>
      <c r="I55" s="78" t="str">
        <f t="shared" ca="1" si="1"/>
        <v>Due This Week</v>
      </c>
    </row>
    <row r="56" spans="1:9" x14ac:dyDescent="0.25">
      <c r="A56" s="15">
        <v>37</v>
      </c>
      <c r="B56" s="45" t="s">
        <v>76</v>
      </c>
      <c r="C56" s="25" t="s">
        <v>11</v>
      </c>
      <c r="D56" s="45" t="s">
        <v>77</v>
      </c>
      <c r="E56" s="57">
        <v>365</v>
      </c>
      <c r="F56" s="72">
        <v>46171</v>
      </c>
      <c r="G56" s="72"/>
      <c r="H56" s="72">
        <f t="shared" si="3"/>
        <v>46536</v>
      </c>
      <c r="I56" s="78" t="str">
        <f t="shared" ca="1" si="1"/>
        <v>Due This Month</v>
      </c>
    </row>
    <row r="57" spans="1:9" x14ac:dyDescent="0.25">
      <c r="A57" s="15">
        <v>38</v>
      </c>
      <c r="B57" s="45" t="s">
        <v>78</v>
      </c>
      <c r="C57" s="25" t="s">
        <v>11</v>
      </c>
      <c r="D57" s="45" t="s">
        <v>43</v>
      </c>
      <c r="E57" s="57">
        <f>365/2</f>
        <v>182.5</v>
      </c>
      <c r="F57" s="71">
        <v>46171</v>
      </c>
      <c r="G57" s="71"/>
      <c r="H57" s="72">
        <f t="shared" si="3"/>
        <v>46353.5</v>
      </c>
      <c r="I57" s="78" t="str">
        <f t="shared" ca="1" si="1"/>
        <v>Due This Month</v>
      </c>
    </row>
    <row r="58" spans="1:9" x14ac:dyDescent="0.25">
      <c r="A58" s="15">
        <v>39</v>
      </c>
      <c r="B58" s="45" t="s">
        <v>79</v>
      </c>
      <c r="C58" s="25" t="s">
        <v>11</v>
      </c>
      <c r="D58" s="45" t="s">
        <v>18</v>
      </c>
      <c r="E58" s="57">
        <v>365</v>
      </c>
      <c r="F58" s="71">
        <v>46164</v>
      </c>
      <c r="G58" s="71"/>
      <c r="H58" s="72">
        <f t="shared" si="3"/>
        <v>46529</v>
      </c>
      <c r="I58" s="78" t="str">
        <f t="shared" ca="1" si="1"/>
        <v>Due This Week</v>
      </c>
    </row>
    <row r="59" spans="1:9" x14ac:dyDescent="0.25">
      <c r="A59" s="15">
        <v>40</v>
      </c>
      <c r="B59" s="45" t="s">
        <v>80</v>
      </c>
      <c r="C59" s="30" t="s">
        <v>11</v>
      </c>
      <c r="D59" s="45" t="s">
        <v>20</v>
      </c>
      <c r="E59" s="57">
        <f>365/2</f>
        <v>182.5</v>
      </c>
      <c r="F59" s="71">
        <v>46164</v>
      </c>
      <c r="G59" s="71"/>
      <c r="H59" s="72">
        <f t="shared" si="3"/>
        <v>46346.5</v>
      </c>
      <c r="I59" s="78" t="str">
        <f t="shared" ca="1" si="1"/>
        <v>Due This Week</v>
      </c>
    </row>
    <row r="60" spans="1:9" x14ac:dyDescent="0.25">
      <c r="A60" s="15">
        <v>41</v>
      </c>
      <c r="B60" s="45" t="s">
        <v>81</v>
      </c>
      <c r="C60" s="25" t="s">
        <v>11</v>
      </c>
      <c r="D60" s="45" t="s">
        <v>82</v>
      </c>
      <c r="E60" s="57">
        <f>365/4</f>
        <v>91.25</v>
      </c>
      <c r="F60" s="71"/>
      <c r="G60" s="71"/>
      <c r="H60" s="72" t="str">
        <f t="shared" si="3"/>
        <v/>
      </c>
      <c r="I60" s="78" t="str">
        <f t="shared" ca="1" si="1"/>
        <v>No Date</v>
      </c>
    </row>
    <row r="61" spans="1:9" x14ac:dyDescent="0.25">
      <c r="A61" s="15">
        <v>42</v>
      </c>
      <c r="B61" s="45" t="s">
        <v>83</v>
      </c>
      <c r="C61" s="25" t="s">
        <v>11</v>
      </c>
      <c r="D61" s="45" t="s">
        <v>63</v>
      </c>
      <c r="E61" s="57">
        <v>365</v>
      </c>
      <c r="F61" s="71">
        <v>46164</v>
      </c>
      <c r="G61" s="71"/>
      <c r="H61" s="72">
        <f t="shared" si="3"/>
        <v>46529</v>
      </c>
      <c r="I61" s="78" t="str">
        <f t="shared" ca="1" si="1"/>
        <v>Due This Week</v>
      </c>
    </row>
    <row r="62" spans="1:9" x14ac:dyDescent="0.25">
      <c r="A62" s="15">
        <v>43</v>
      </c>
      <c r="B62" s="45" t="s">
        <v>84</v>
      </c>
      <c r="C62" s="25" t="s">
        <v>11</v>
      </c>
      <c r="D62" s="45" t="s">
        <v>85</v>
      </c>
      <c r="E62" s="57">
        <v>365</v>
      </c>
      <c r="F62" s="71">
        <v>46150</v>
      </c>
      <c r="G62" s="71"/>
      <c r="H62" s="72">
        <f t="shared" si="3"/>
        <v>46515</v>
      </c>
      <c r="I62" s="78" t="str">
        <f t="shared" ca="1" si="1"/>
        <v>Overdue</v>
      </c>
    </row>
    <row r="63" spans="1:9" x14ac:dyDescent="0.25">
      <c r="A63" s="15">
        <v>44</v>
      </c>
      <c r="B63" s="45" t="s">
        <v>86</v>
      </c>
      <c r="C63" s="25" t="s">
        <v>11</v>
      </c>
      <c r="D63" s="45" t="s">
        <v>22</v>
      </c>
      <c r="E63" s="57">
        <f t="shared" ref="E63:E69" si="4">365/2</f>
        <v>182.5</v>
      </c>
      <c r="F63" s="71">
        <v>46164</v>
      </c>
      <c r="G63" s="71"/>
      <c r="H63" s="72">
        <f t="shared" si="3"/>
        <v>46346.5</v>
      </c>
      <c r="I63" s="78" t="str">
        <f t="shared" ca="1" si="1"/>
        <v>Due This Week</v>
      </c>
    </row>
    <row r="64" spans="1:9" x14ac:dyDescent="0.25">
      <c r="A64" s="15">
        <v>45</v>
      </c>
      <c r="B64" s="45" t="s">
        <v>87</v>
      </c>
      <c r="C64" s="25" t="s">
        <v>11</v>
      </c>
      <c r="D64" s="45" t="s">
        <v>63</v>
      </c>
      <c r="E64" s="57">
        <f t="shared" si="4"/>
        <v>182.5</v>
      </c>
      <c r="F64" s="71">
        <v>46164</v>
      </c>
      <c r="G64" s="71"/>
      <c r="H64" s="72">
        <f t="shared" si="3"/>
        <v>46346.5</v>
      </c>
      <c r="I64" s="78" t="str">
        <f t="shared" ca="1" si="1"/>
        <v>Due This Week</v>
      </c>
    </row>
    <row r="65" spans="1:316" x14ac:dyDescent="0.25">
      <c r="A65" s="15">
        <v>46</v>
      </c>
      <c r="B65" s="45" t="s">
        <v>88</v>
      </c>
      <c r="C65" s="25" t="s">
        <v>11</v>
      </c>
      <c r="D65" s="45" t="s">
        <v>38</v>
      </c>
      <c r="E65" s="57">
        <f t="shared" si="4"/>
        <v>182.5</v>
      </c>
      <c r="F65" s="71">
        <v>46164</v>
      </c>
      <c r="G65" s="71"/>
      <c r="H65" s="72">
        <f t="shared" si="3"/>
        <v>46346.5</v>
      </c>
      <c r="I65" s="78" t="str">
        <f t="shared" ca="1" si="1"/>
        <v>Due This Week</v>
      </c>
    </row>
    <row r="66" spans="1:316" x14ac:dyDescent="0.25">
      <c r="A66" s="15">
        <v>47</v>
      </c>
      <c r="B66" s="45" t="s">
        <v>89</v>
      </c>
      <c r="C66" s="25" t="s">
        <v>11</v>
      </c>
      <c r="D66" s="45" t="s">
        <v>58</v>
      </c>
      <c r="E66" s="57">
        <f t="shared" si="4"/>
        <v>182.5</v>
      </c>
      <c r="F66" s="71">
        <v>46164</v>
      </c>
      <c r="G66" s="71"/>
      <c r="H66" s="72">
        <f t="shared" si="3"/>
        <v>46346.5</v>
      </c>
      <c r="I66" s="78" t="str">
        <f t="shared" ca="1" si="1"/>
        <v>Due This Week</v>
      </c>
    </row>
    <row r="67" spans="1:316" x14ac:dyDescent="0.25">
      <c r="A67" s="15">
        <v>48</v>
      </c>
      <c r="B67" s="45" t="s">
        <v>90</v>
      </c>
      <c r="C67" s="25" t="s">
        <v>11</v>
      </c>
      <c r="D67" s="45" t="s">
        <v>43</v>
      </c>
      <c r="E67" s="57">
        <f t="shared" si="4"/>
        <v>182.5</v>
      </c>
      <c r="F67" s="71">
        <v>46171</v>
      </c>
      <c r="G67" s="71"/>
      <c r="H67" s="72">
        <f t="shared" si="3"/>
        <v>46353.5</v>
      </c>
      <c r="I67" s="78" t="str">
        <f t="shared" ca="1" si="1"/>
        <v>Due This Month</v>
      </c>
    </row>
    <row r="68" spans="1:316" x14ac:dyDescent="0.25">
      <c r="A68" s="15">
        <v>49</v>
      </c>
      <c r="B68" s="45" t="s">
        <v>91</v>
      </c>
      <c r="C68" s="25" t="s">
        <v>11</v>
      </c>
      <c r="D68" s="45" t="s">
        <v>22</v>
      </c>
      <c r="E68" s="57">
        <f t="shared" si="4"/>
        <v>182.5</v>
      </c>
      <c r="F68" s="71">
        <v>46171</v>
      </c>
      <c r="G68" s="71"/>
      <c r="H68" s="72">
        <f t="shared" si="3"/>
        <v>46353.5</v>
      </c>
      <c r="I68" s="78" t="str">
        <f t="shared" ca="1" si="1"/>
        <v>Due This Month</v>
      </c>
    </row>
    <row r="69" spans="1:316" x14ac:dyDescent="0.25">
      <c r="A69" s="15">
        <v>50</v>
      </c>
      <c r="B69" s="45" t="s">
        <v>93</v>
      </c>
      <c r="C69" s="25" t="s">
        <v>11</v>
      </c>
      <c r="D69" s="45" t="s">
        <v>25</v>
      </c>
      <c r="E69" s="57">
        <f t="shared" si="4"/>
        <v>182.5</v>
      </c>
      <c r="F69" s="71">
        <v>46164</v>
      </c>
      <c r="G69" s="71"/>
      <c r="H69" s="72">
        <f t="shared" si="3"/>
        <v>46346.5</v>
      </c>
      <c r="I69" s="78" t="str">
        <f t="shared" ca="1" si="1"/>
        <v>Due This Week</v>
      </c>
    </row>
    <row r="70" spans="1:316" x14ac:dyDescent="0.25">
      <c r="A70" s="15">
        <v>51</v>
      </c>
      <c r="B70" s="45" t="s">
        <v>94</v>
      </c>
      <c r="C70" s="25" t="s">
        <v>11</v>
      </c>
      <c r="D70" s="45" t="s">
        <v>20</v>
      </c>
      <c r="E70" s="57">
        <v>30</v>
      </c>
      <c r="F70" s="71">
        <v>46164</v>
      </c>
      <c r="G70" s="71"/>
      <c r="H70" s="72">
        <f t="shared" si="3"/>
        <v>46194</v>
      </c>
      <c r="I70" s="78" t="str">
        <f t="shared" ca="1" si="1"/>
        <v>Due This Week</v>
      </c>
    </row>
    <row r="71" spans="1:316" x14ac:dyDescent="0.25">
      <c r="A71" s="15">
        <v>52</v>
      </c>
      <c r="B71" s="45" t="s">
        <v>95</v>
      </c>
      <c r="C71" s="25" t="s">
        <v>11</v>
      </c>
      <c r="D71" s="45" t="s">
        <v>18</v>
      </c>
      <c r="E71" s="57">
        <f>365/2</f>
        <v>182.5</v>
      </c>
      <c r="F71" s="71">
        <v>46164</v>
      </c>
      <c r="G71" s="71"/>
      <c r="H71" s="72">
        <f t="shared" si="3"/>
        <v>46346.5</v>
      </c>
      <c r="I71" s="78" t="str">
        <f t="shared" ca="1" si="1"/>
        <v>Due This Week</v>
      </c>
    </row>
    <row r="72" spans="1:316" x14ac:dyDescent="0.25">
      <c r="A72" s="15">
        <v>53</v>
      </c>
      <c r="B72" s="45" t="s">
        <v>96</v>
      </c>
      <c r="C72" s="25" t="s">
        <v>11</v>
      </c>
      <c r="D72" s="45" t="s">
        <v>97</v>
      </c>
      <c r="E72" s="57">
        <f>365/2</f>
        <v>182.5</v>
      </c>
      <c r="F72" s="71">
        <v>46149</v>
      </c>
      <c r="G72" s="71">
        <v>46149</v>
      </c>
      <c r="H72" s="72">
        <f t="shared" si="3"/>
        <v>46331.5</v>
      </c>
      <c r="I72" s="78" t="str">
        <f t="shared" ca="1" si="1"/>
        <v>Completed</v>
      </c>
    </row>
    <row r="73" spans="1:316" x14ac:dyDescent="0.25">
      <c r="A73" s="15">
        <v>54</v>
      </c>
      <c r="B73" s="45" t="s">
        <v>98</v>
      </c>
      <c r="C73" s="25" t="s">
        <v>11</v>
      </c>
      <c r="D73" s="45" t="s">
        <v>99</v>
      </c>
      <c r="E73" s="57">
        <f>365/2</f>
        <v>182.5</v>
      </c>
      <c r="F73" s="71"/>
      <c r="G73" s="71"/>
      <c r="H73" s="72" t="str">
        <f t="shared" si="3"/>
        <v/>
      </c>
      <c r="I73" s="78" t="str">
        <f t="shared" ca="1" si="1"/>
        <v>No Date</v>
      </c>
    </row>
    <row r="74" spans="1:316" x14ac:dyDescent="0.25">
      <c r="A74" s="15">
        <v>55</v>
      </c>
      <c r="B74" s="45" t="s">
        <v>100</v>
      </c>
      <c r="C74" s="25" t="s">
        <v>11</v>
      </c>
      <c r="D74" s="45" t="s">
        <v>69</v>
      </c>
      <c r="E74" s="57">
        <v>365</v>
      </c>
      <c r="F74" s="71"/>
      <c r="G74" s="71"/>
      <c r="H74" s="72" t="str">
        <f t="shared" ref="H74:H93" si="5">IF(AND(F74&lt;&gt;"",E74&lt;&gt;""), F74 + E74, "")</f>
        <v/>
      </c>
      <c r="I74" s="78" t="str">
        <f t="shared" ref="I74:I86" ca="1" si="6">IF(AND(G74&lt;&gt;"",G74&lt;=TODAY()),IF(G74&gt;F74,"Completed Late","Completed"),IF(F74="","No Date",IF(F74&lt;TODAY(),"Overdue",IF(F74-TODAY()&lt;=7,"Due This Week",IF(F74-TODAY()&lt;=30,"Due This Month","Active")))))</f>
        <v>No Date</v>
      </c>
    </row>
    <row r="75" spans="1:316" x14ac:dyDescent="0.25">
      <c r="A75" s="15">
        <v>56</v>
      </c>
      <c r="B75" s="45" t="s">
        <v>101</v>
      </c>
      <c r="C75" s="25" t="s">
        <v>11</v>
      </c>
      <c r="D75" s="45" t="s">
        <v>51</v>
      </c>
      <c r="E75" s="57">
        <f>365/2</f>
        <v>182.5</v>
      </c>
      <c r="F75" s="71">
        <v>46164</v>
      </c>
      <c r="G75" s="71"/>
      <c r="H75" s="72">
        <f t="shared" si="5"/>
        <v>46346.5</v>
      </c>
      <c r="I75" s="78" t="str">
        <f t="shared" ca="1" si="6"/>
        <v>Due This Week</v>
      </c>
    </row>
    <row r="76" spans="1:316" x14ac:dyDescent="0.25">
      <c r="A76" s="15">
        <v>57</v>
      </c>
      <c r="B76" s="45" t="s">
        <v>102</v>
      </c>
      <c r="C76" s="25" t="s">
        <v>11</v>
      </c>
      <c r="D76" s="45" t="s">
        <v>20</v>
      </c>
      <c r="E76" s="57">
        <v>365</v>
      </c>
      <c r="F76" s="71">
        <v>46157</v>
      </c>
      <c r="G76" s="71"/>
      <c r="H76" s="72">
        <f t="shared" si="5"/>
        <v>46522</v>
      </c>
      <c r="I76" s="78" t="str">
        <f t="shared" ca="1" si="6"/>
        <v>Overdue</v>
      </c>
    </row>
    <row r="77" spans="1:316" x14ac:dyDescent="0.25">
      <c r="A77" s="15">
        <v>58</v>
      </c>
      <c r="B77" s="45" t="s">
        <v>103</v>
      </c>
      <c r="C77" s="25" t="s">
        <v>11</v>
      </c>
      <c r="D77" s="45" t="s">
        <v>32</v>
      </c>
      <c r="E77" s="57">
        <v>365</v>
      </c>
      <c r="F77" s="71">
        <v>46171</v>
      </c>
      <c r="G77" s="71"/>
      <c r="H77" s="72">
        <f t="shared" si="5"/>
        <v>46536</v>
      </c>
      <c r="I77" s="78" t="str">
        <f t="shared" ca="1" si="6"/>
        <v>Due This Month</v>
      </c>
    </row>
    <row r="78" spans="1:316" x14ac:dyDescent="0.25">
      <c r="A78" s="15">
        <v>59</v>
      </c>
      <c r="B78" s="45" t="s">
        <v>104</v>
      </c>
      <c r="C78" s="25" t="s">
        <v>11</v>
      </c>
      <c r="D78" s="45" t="s">
        <v>105</v>
      </c>
      <c r="E78" s="57">
        <f>365/2</f>
        <v>182.5</v>
      </c>
      <c r="F78" s="71">
        <v>46167</v>
      </c>
      <c r="G78" s="71"/>
      <c r="H78" s="72">
        <f t="shared" si="5"/>
        <v>46349.5</v>
      </c>
      <c r="I78" s="78" t="str">
        <f t="shared" ca="1" si="6"/>
        <v>Due This Week</v>
      </c>
    </row>
    <row r="79" spans="1:316" x14ac:dyDescent="0.25">
      <c r="A79" s="15">
        <v>60</v>
      </c>
      <c r="B79" s="45" t="s">
        <v>106</v>
      </c>
      <c r="C79" s="25" t="s">
        <v>11</v>
      </c>
      <c r="D79" s="45" t="s">
        <v>69</v>
      </c>
      <c r="E79" s="57">
        <f>365/2</f>
        <v>182.5</v>
      </c>
      <c r="F79" s="71"/>
      <c r="G79" s="71"/>
      <c r="H79" s="72" t="str">
        <f t="shared" si="5"/>
        <v/>
      </c>
      <c r="I79" s="78" t="str">
        <f t="shared" ca="1" si="6"/>
        <v>No Date</v>
      </c>
    </row>
    <row r="80" spans="1:316" s="61" customFormat="1" x14ac:dyDescent="0.25">
      <c r="A80" s="15">
        <v>61</v>
      </c>
      <c r="B80" s="45" t="s">
        <v>107</v>
      </c>
      <c r="C80" s="25" t="s">
        <v>11</v>
      </c>
      <c r="D80" s="45" t="s">
        <v>105</v>
      </c>
      <c r="E80" s="57">
        <f>365/2</f>
        <v>182.5</v>
      </c>
      <c r="F80" s="71">
        <v>46157</v>
      </c>
      <c r="G80" s="71"/>
      <c r="H80" s="72">
        <f t="shared" si="5"/>
        <v>46339.5</v>
      </c>
      <c r="I80" s="78" t="str">
        <f t="shared" ca="1" si="6"/>
        <v>Overdue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8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8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8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8"/>
      <c r="JV80" s="48"/>
      <c r="JW80" s="48"/>
      <c r="JX80" s="48"/>
      <c r="JY80" s="48"/>
      <c r="JZ80" s="48"/>
      <c r="KA80" s="48"/>
      <c r="KB80" s="48"/>
      <c r="KC80" s="48"/>
      <c r="KD80" s="48"/>
      <c r="KE80" s="48"/>
      <c r="KF80" s="48"/>
      <c r="KG80" s="48"/>
      <c r="KH80" s="48"/>
      <c r="KI80" s="48"/>
      <c r="KJ80" s="48"/>
      <c r="KK80" s="48"/>
      <c r="KL80" s="48"/>
      <c r="KM80" s="48"/>
      <c r="KN80" s="48"/>
      <c r="KO80" s="48"/>
      <c r="KP80" s="48"/>
      <c r="KQ80" s="48"/>
      <c r="KR80" s="48"/>
      <c r="KS80" s="48"/>
      <c r="KT80" s="48"/>
      <c r="KU80" s="48"/>
      <c r="KV80" s="48"/>
      <c r="KW80" s="48"/>
      <c r="KX80" s="48"/>
      <c r="KY80" s="48"/>
      <c r="KZ80" s="48"/>
      <c r="LA80" s="48"/>
      <c r="LB80" s="48"/>
      <c r="LC80" s="48"/>
      <c r="LD80" s="48"/>
    </row>
    <row r="81" spans="1:316" s="61" customFormat="1" x14ac:dyDescent="0.25">
      <c r="A81" s="15">
        <v>62</v>
      </c>
      <c r="B81" s="45" t="s">
        <v>108</v>
      </c>
      <c r="C81" s="25" t="s">
        <v>11</v>
      </c>
      <c r="D81" s="45" t="s">
        <v>38</v>
      </c>
      <c r="E81" s="57">
        <f>365/2</f>
        <v>182.5</v>
      </c>
      <c r="F81" s="71">
        <v>46164</v>
      </c>
      <c r="G81" s="71"/>
      <c r="H81" s="72">
        <f t="shared" si="5"/>
        <v>46346.5</v>
      </c>
      <c r="I81" s="78" t="str">
        <f t="shared" ca="1" si="6"/>
        <v>Due This Week</v>
      </c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8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8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8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8"/>
      <c r="JV81" s="48"/>
      <c r="JW81" s="48"/>
      <c r="JX81" s="48"/>
      <c r="JY81" s="48"/>
      <c r="JZ81" s="48"/>
      <c r="KA81" s="48"/>
      <c r="KB81" s="48"/>
      <c r="KC81" s="48"/>
      <c r="KD81" s="48"/>
      <c r="KE81" s="48"/>
      <c r="KF81" s="48"/>
      <c r="KG81" s="48"/>
      <c r="KH81" s="48"/>
      <c r="KI81" s="48"/>
      <c r="KJ81" s="48"/>
      <c r="KK81" s="48"/>
      <c r="KL81" s="48"/>
      <c r="KM81" s="48"/>
      <c r="KN81" s="48"/>
      <c r="KO81" s="48"/>
      <c r="KP81" s="48"/>
      <c r="KQ81" s="48"/>
      <c r="KR81" s="48"/>
      <c r="KS81" s="48"/>
      <c r="KT81" s="48"/>
      <c r="KU81" s="48"/>
      <c r="KV81" s="48"/>
      <c r="KW81" s="48"/>
      <c r="KX81" s="48"/>
      <c r="KY81" s="48"/>
      <c r="KZ81" s="48"/>
      <c r="LA81" s="48"/>
      <c r="LB81" s="48"/>
      <c r="LC81" s="48"/>
      <c r="LD81" s="48"/>
    </row>
    <row r="82" spans="1:316" s="61" customFormat="1" x14ac:dyDescent="0.25">
      <c r="A82" s="15">
        <v>63</v>
      </c>
      <c r="B82" s="45" t="s">
        <v>109</v>
      </c>
      <c r="C82" s="25" t="s">
        <v>11</v>
      </c>
      <c r="D82" s="45" t="s">
        <v>49</v>
      </c>
      <c r="E82" s="57">
        <f>365/2</f>
        <v>182.5</v>
      </c>
      <c r="F82" s="72"/>
      <c r="G82" s="72"/>
      <c r="H82" s="72" t="str">
        <f t="shared" si="5"/>
        <v/>
      </c>
      <c r="I82" s="78" t="str">
        <f t="shared" ca="1" si="6"/>
        <v>No Date</v>
      </c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8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8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8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8"/>
      <c r="JV82" s="48"/>
      <c r="JW82" s="48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8"/>
      <c r="LD82" s="48"/>
    </row>
    <row r="83" spans="1:316" x14ac:dyDescent="0.25">
      <c r="A83" s="15">
        <v>64</v>
      </c>
      <c r="B83" s="45" t="s">
        <v>110</v>
      </c>
      <c r="C83" s="25" t="s">
        <v>11</v>
      </c>
      <c r="D83" s="45" t="s">
        <v>22</v>
      </c>
      <c r="E83" s="57">
        <v>365</v>
      </c>
      <c r="F83" s="71">
        <v>46164</v>
      </c>
      <c r="G83" s="71"/>
      <c r="H83" s="72">
        <f t="shared" si="5"/>
        <v>46529</v>
      </c>
      <c r="I83" s="78" t="str">
        <f t="shared" ca="1" si="6"/>
        <v>Due This Week</v>
      </c>
    </row>
    <row r="84" spans="1:316" ht="45" x14ac:dyDescent="0.25">
      <c r="A84" s="15">
        <v>65</v>
      </c>
      <c r="B84" s="92" t="s">
        <v>111</v>
      </c>
      <c r="C84" s="25" t="s">
        <v>11</v>
      </c>
      <c r="D84" s="45" t="s">
        <v>99</v>
      </c>
      <c r="E84" s="57">
        <f>365/4</f>
        <v>91.25</v>
      </c>
      <c r="F84" s="71"/>
      <c r="G84" s="71"/>
      <c r="H84" s="72" t="str">
        <f t="shared" si="5"/>
        <v/>
      </c>
      <c r="I84" s="78" t="str">
        <f t="shared" ca="1" si="6"/>
        <v>No Date</v>
      </c>
    </row>
    <row r="85" spans="1:316" x14ac:dyDescent="0.25">
      <c r="A85" s="15">
        <v>66</v>
      </c>
      <c r="B85" s="45" t="s">
        <v>112</v>
      </c>
      <c r="C85" s="25" t="s">
        <v>11</v>
      </c>
      <c r="D85" s="45" t="s">
        <v>99</v>
      </c>
      <c r="E85" s="57">
        <v>365</v>
      </c>
      <c r="F85" s="71"/>
      <c r="G85" s="71"/>
      <c r="H85" s="72" t="str">
        <f t="shared" si="5"/>
        <v/>
      </c>
      <c r="I85" s="78" t="str">
        <f t="shared" ca="1" si="6"/>
        <v>No Date</v>
      </c>
    </row>
    <row r="86" spans="1:316" x14ac:dyDescent="0.25">
      <c r="A86" s="15">
        <v>67</v>
      </c>
      <c r="B86" s="45" t="s">
        <v>143</v>
      </c>
      <c r="C86" s="25" t="s">
        <v>11</v>
      </c>
      <c r="D86" s="45" t="s">
        <v>18</v>
      </c>
      <c r="E86" s="57">
        <f>365/2</f>
        <v>182.5</v>
      </c>
      <c r="F86" s="71">
        <v>46164</v>
      </c>
      <c r="G86" s="71"/>
      <c r="H86" s="72">
        <f t="shared" si="5"/>
        <v>46346.5</v>
      </c>
      <c r="I86" s="78" t="str">
        <f t="shared" ca="1" si="6"/>
        <v>Due This Week</v>
      </c>
    </row>
    <row r="87" spans="1:316" x14ac:dyDescent="0.25">
      <c r="A87" s="46">
        <v>68</v>
      </c>
      <c r="B87" s="45" t="s">
        <v>144</v>
      </c>
      <c r="C87" s="25" t="s">
        <v>11</v>
      </c>
      <c r="D87" s="45" t="s">
        <v>22</v>
      </c>
      <c r="E87" s="57">
        <v>365</v>
      </c>
      <c r="F87" s="72"/>
      <c r="G87" s="71"/>
      <c r="H87" s="72" t="str">
        <f t="shared" si="5"/>
        <v/>
      </c>
      <c r="I87" s="85" t="str">
        <f t="shared" ref="I87:I93" ca="1" si="7">IF(AND(G87&lt;&gt;"",G87&lt;=TODAY()),IF(G87&gt;F87,"Completed Late","Completed"),IF(F87="","No Date",IF(F87&lt;TODAY(),"Overdue",IF(F87-TODAY()&lt;=7,"Due This Week",IF(F87-TODAY()&lt;=30,"Due This Month","Active")))))</f>
        <v>No Date</v>
      </c>
    </row>
    <row r="88" spans="1:316" x14ac:dyDescent="0.25">
      <c r="A88" s="46">
        <v>69</v>
      </c>
      <c r="B88" s="45" t="s">
        <v>145</v>
      </c>
      <c r="C88" s="25" t="s">
        <v>11</v>
      </c>
      <c r="D88" s="45" t="s">
        <v>22</v>
      </c>
      <c r="E88" s="57">
        <v>365</v>
      </c>
      <c r="F88" s="72"/>
      <c r="G88" s="71"/>
      <c r="H88" s="72" t="str">
        <f t="shared" si="5"/>
        <v/>
      </c>
      <c r="I88" s="85" t="str">
        <f t="shared" ca="1" si="7"/>
        <v>No Date</v>
      </c>
    </row>
    <row r="89" spans="1:316" x14ac:dyDescent="0.25">
      <c r="A89" s="46">
        <v>70</v>
      </c>
      <c r="B89" s="45" t="s">
        <v>147</v>
      </c>
      <c r="C89" s="25" t="s">
        <v>11</v>
      </c>
      <c r="D89" s="45"/>
      <c r="E89" s="57"/>
      <c r="F89" s="72"/>
      <c r="G89" s="71"/>
      <c r="H89" s="72" t="str">
        <f t="shared" si="5"/>
        <v/>
      </c>
      <c r="I89" s="85" t="str">
        <f t="shared" ca="1" si="7"/>
        <v>No Date</v>
      </c>
    </row>
    <row r="90" spans="1:316" x14ac:dyDescent="0.25">
      <c r="A90" s="46">
        <v>71</v>
      </c>
      <c r="B90" s="45" t="s">
        <v>148</v>
      </c>
      <c r="C90" s="25" t="s">
        <v>11</v>
      </c>
      <c r="D90" s="45" t="s">
        <v>77</v>
      </c>
      <c r="E90" s="45">
        <v>365</v>
      </c>
      <c r="F90" s="72">
        <v>46171</v>
      </c>
      <c r="G90" s="71"/>
      <c r="H90" s="72">
        <f t="shared" si="5"/>
        <v>46536</v>
      </c>
      <c r="I90" s="85" t="str">
        <f t="shared" ca="1" si="7"/>
        <v>Due This Month</v>
      </c>
    </row>
    <row r="91" spans="1:316" x14ac:dyDescent="0.25">
      <c r="A91" s="46">
        <v>72</v>
      </c>
      <c r="B91" s="45" t="s">
        <v>149</v>
      </c>
      <c r="C91" s="25" t="s">
        <v>11</v>
      </c>
      <c r="D91" s="45" t="s">
        <v>77</v>
      </c>
      <c r="E91" s="45">
        <v>365</v>
      </c>
      <c r="F91" s="72">
        <v>46171</v>
      </c>
      <c r="G91" s="71"/>
      <c r="H91" s="72">
        <f t="shared" si="5"/>
        <v>46536</v>
      </c>
      <c r="I91" s="85" t="str">
        <f t="shared" ca="1" si="7"/>
        <v>Due This Month</v>
      </c>
    </row>
    <row r="92" spans="1:316" x14ac:dyDescent="0.25">
      <c r="A92" s="46">
        <v>73</v>
      </c>
      <c r="B92" s="20" t="s">
        <v>150</v>
      </c>
      <c r="C92" s="25" t="s">
        <v>11</v>
      </c>
      <c r="D92" s="45" t="s">
        <v>77</v>
      </c>
      <c r="E92" s="45">
        <v>365</v>
      </c>
      <c r="F92" s="72">
        <v>46171</v>
      </c>
      <c r="G92" s="71"/>
      <c r="H92" s="72">
        <f t="shared" si="5"/>
        <v>46536</v>
      </c>
      <c r="I92" s="85" t="str">
        <f t="shared" ca="1" si="7"/>
        <v>Due This Month</v>
      </c>
    </row>
    <row r="93" spans="1:316" x14ac:dyDescent="0.25">
      <c r="A93" s="46">
        <v>74</v>
      </c>
      <c r="B93" s="45" t="s">
        <v>152</v>
      </c>
      <c r="C93" s="25" t="s">
        <v>11</v>
      </c>
      <c r="D93" s="45" t="s">
        <v>77</v>
      </c>
      <c r="E93" s="45">
        <v>365</v>
      </c>
      <c r="F93" s="72">
        <v>46171</v>
      </c>
      <c r="G93" s="71"/>
      <c r="H93" s="72">
        <f t="shared" si="5"/>
        <v>46536</v>
      </c>
      <c r="I93" s="85" t="str">
        <f t="shared" ca="1" si="7"/>
        <v>Due This Month</v>
      </c>
    </row>
  </sheetData>
  <autoFilter ref="A8:I8" xr:uid="{3C2DD3F0-61EB-4766-A44E-A21AFDD747EA}"/>
  <mergeCells count="3">
    <mergeCell ref="B2:B4"/>
    <mergeCell ref="C2:D2"/>
    <mergeCell ref="C3:D3"/>
  </mergeCells>
  <phoneticPr fontId="15" type="noConversion"/>
  <conditionalFormatting sqref="I10:I93">
    <cfRule type="cellIs" dxfId="4" priority="4" operator="equal">
      <formula>"Completed"</formula>
    </cfRule>
    <cfRule type="cellIs" dxfId="3" priority="5" operator="equal">
      <formula>"Active"</formula>
    </cfRule>
    <cfRule type="cellIs" dxfId="2" priority="7" operator="equal">
      <formula>"Due This Month"</formula>
    </cfRule>
    <cfRule type="cellIs" dxfId="1" priority="8" operator="equal">
      <formula>"Due This Week"</formula>
    </cfRule>
    <cfRule type="cellIs" dxfId="0" priority="9" operator="equal">
      <formula>"Overdue"</formula>
    </cfRule>
  </conditionalFormatting>
  <hyperlinks>
    <hyperlink ref="C20" r:id="rId1" xr:uid="{6BA6336F-7F3A-45E0-82F5-44F255447945}"/>
    <hyperlink ref="C23" r:id="rId2" xr:uid="{8ED52127-4A1C-4AB2-A061-C885DCA01FE5}"/>
    <hyperlink ref="C22" r:id="rId3" xr:uid="{C05E2821-0121-4082-82BF-3D56F7CAB4BF}"/>
    <hyperlink ref="C21" r:id="rId4" xr:uid="{7BE4E0BE-63EE-4A3F-9C3C-55FAE5B44ABE}"/>
    <hyperlink ref="C24" r:id="rId5" xr:uid="{E4993481-5712-4C4D-B171-73300C38AFEE}"/>
    <hyperlink ref="C27" r:id="rId6" xr:uid="{6480E390-EC91-4F96-A810-70645CD6D624}"/>
    <hyperlink ref="C29" r:id="rId7" xr:uid="{ACA9E0B3-19B7-457D-BABA-ABB39ADE3DB7}"/>
    <hyperlink ref="C30" r:id="rId8" xr:uid="{8C91DE1D-E2F5-481B-94A5-49619FFCC71A}"/>
    <hyperlink ref="C31" r:id="rId9" xr:uid="{BF6EBF9E-64E6-4BE9-9C15-AC534F42B77B}"/>
    <hyperlink ref="C34" r:id="rId10" xr:uid="{37C42352-E452-4F1B-97CF-86F456922A84}"/>
    <hyperlink ref="C35" r:id="rId11" xr:uid="{3873833A-0C98-4F23-ADE3-25FA663EF0CE}"/>
    <hyperlink ref="C38" r:id="rId12" xr:uid="{13329FC4-6CD1-48B3-9D13-08FB79ECEB7F}"/>
    <hyperlink ref="C36" r:id="rId13" xr:uid="{44377C20-0B20-46DE-9985-777614C1992C}"/>
    <hyperlink ref="C37" r:id="rId14" xr:uid="{936DF5C0-11CD-4AA2-A7D7-5D3B7BF5B6DE}"/>
    <hyperlink ref="C42" r:id="rId15" xr:uid="{ABD3125E-BE4F-4469-B4AA-8D9272EDD9F2}"/>
    <hyperlink ref="C40" r:id="rId16" xr:uid="{5C18F96B-2618-4D45-ADA5-AAA15BAF3631}"/>
    <hyperlink ref="C41" r:id="rId17" xr:uid="{23006ED4-AC0E-43FF-BBE3-0E62F7210355}"/>
    <hyperlink ref="C45" r:id="rId18" xr:uid="{B7626DB2-78D3-4E55-A64B-472E31AF32EE}"/>
    <hyperlink ref="C47" r:id="rId19" xr:uid="{CDCB1D3B-0F1F-464D-8FB1-FC1040762EC8}"/>
    <hyperlink ref="C49" r:id="rId20" xr:uid="{E309E5EC-DBE7-4D79-869F-55971BE7598D}"/>
    <hyperlink ref="C50" r:id="rId21" xr:uid="{82EB1A22-EDC4-4114-AF16-822E27F2BD7C}"/>
    <hyperlink ref="C52" r:id="rId22" xr:uid="{9E862F60-5D7C-46FC-A5E4-5373EF99DEA8}"/>
    <hyperlink ref="C53" r:id="rId23" xr:uid="{6E8D97C0-E2E6-49F3-ABEA-45F704C0A154}"/>
    <hyperlink ref="C54" r:id="rId24" xr:uid="{B54C7EDA-0CBD-4994-8EC5-963FEF770D2A}"/>
    <hyperlink ref="C56" r:id="rId25" xr:uid="{BB449D56-B52C-44B6-91C6-9FEC624BF465}"/>
    <hyperlink ref="C60" r:id="rId26" xr:uid="{846C2D9D-9264-476E-B210-1F79255FD90C}"/>
    <hyperlink ref="C66" r:id="rId27" xr:uid="{6413F66B-9818-46E8-8223-26E9F5EEE59C}"/>
    <hyperlink ref="C61" r:id="rId28" xr:uid="{E5DB65F0-EFA6-49C1-9086-40AA51398EE6}"/>
    <hyperlink ref="C43" r:id="rId29" xr:uid="{30E4F81F-CC46-41AE-802A-F8C3C0E7D3B5}"/>
    <hyperlink ref="C68" r:id="rId30" xr:uid="{780A0EE3-5024-434F-B161-405CDC730965}"/>
    <hyperlink ref="C67" r:id="rId31" xr:uid="{2E37933B-CB00-4968-98B0-6028BDF4E29C}"/>
    <hyperlink ref="C70" r:id="rId32" xr:uid="{1B3BE85A-E5EC-484E-97C6-26D4B4194554}"/>
    <hyperlink ref="C73" r:id="rId33" xr:uid="{1A207A23-A56C-4F88-BD59-A950FC5E7E39}"/>
    <hyperlink ref="C72" r:id="rId34" xr:uid="{52BE1598-E3BF-46A1-A003-4434500AD41C}"/>
    <hyperlink ref="C75" r:id="rId35" xr:uid="{C1D4EB67-61D3-4488-A88B-595A7FAD7F7F}"/>
    <hyperlink ref="C64" r:id="rId36" xr:uid="{4AEEF5C7-6D64-4379-BAA6-DFF2853ED585}"/>
    <hyperlink ref="C76" r:id="rId37" xr:uid="{7F3D1233-0877-427C-B1FF-68679B257E8C}"/>
    <hyperlink ref="C78" r:id="rId38" xr:uid="{9B77B1AB-7151-4E33-AD1F-0E0F1131A0CB}"/>
    <hyperlink ref="C80" r:id="rId39" xr:uid="{AB0BFC32-209C-4DA3-B51A-23ED38D4F7D1}"/>
    <hyperlink ref="C44" r:id="rId40" xr:uid="{3454938F-90AA-4E19-9052-6213C044F683}"/>
    <hyperlink ref="C81" r:id="rId41" xr:uid="{6C04FC55-4836-4373-8E0E-7C0337D69C14}"/>
    <hyperlink ref="C32" r:id="rId42" xr:uid="{AB639016-7EB9-4D06-8EAF-B00AA03BA8D5}"/>
    <hyperlink ref="C71" r:id="rId43" xr:uid="{7D6D05DE-0FDA-4FDB-91C6-A229E0C7B7C9}"/>
    <hyperlink ref="C11" r:id="rId44" xr:uid="{D9FD33FB-C22B-42B5-9692-AB23CA291781}"/>
    <hyperlink ref="C79" r:id="rId45" xr:uid="{205750F4-4A7E-48E8-B796-30AB9B820075}"/>
    <hyperlink ref="C65" r:id="rId46" xr:uid="{6C2CD1E6-232C-433F-90A9-D2403ECD0AE1}"/>
    <hyperlink ref="C63" r:id="rId47" xr:uid="{76077553-08F6-4D27-8E7C-3234420F3673}"/>
    <hyperlink ref="C62" r:id="rId48" xr:uid="{4E4B7B7D-22B0-4F16-ABAC-B52BEB108D6B}"/>
    <hyperlink ref="C55" r:id="rId49" xr:uid="{78F428F1-F662-4BD7-8FD2-B93A7E86B356}"/>
    <hyperlink ref="C74" r:id="rId50" xr:uid="{BDF40A80-6597-4395-9740-9D0E67A25307}"/>
    <hyperlink ref="C59" r:id="rId51" xr:uid="{9F3122D1-2B0A-4DB9-97F7-9A84B4A00361}"/>
    <hyperlink ref="C57" r:id="rId52" xr:uid="{D92A4128-D848-40F9-BA2C-A731DAAF75F8}"/>
    <hyperlink ref="C10" r:id="rId53" xr:uid="{0AAFE6ED-F803-4E1F-8C68-96F456B5982D}"/>
    <hyperlink ref="C77" r:id="rId54" xr:uid="{7FEEC4EC-BBE8-4169-962F-3163CFA57ACD}"/>
    <hyperlink ref="C82" r:id="rId55" xr:uid="{C661686E-8A5C-4AF1-B29D-5569271A61C0}"/>
    <hyperlink ref="C28" r:id="rId56" xr:uid="{A495740B-ED4D-4F05-8B63-7FA07637002C}"/>
    <hyperlink ref="C51" r:id="rId57" xr:uid="{AA6A6083-34B0-4444-B918-1CCCAFB968DB}"/>
    <hyperlink ref="C48" r:id="rId58" xr:uid="{A951B389-E815-4C0F-8998-B6093F43F589}"/>
    <hyperlink ref="C33" r:id="rId59" xr:uid="{F620B70D-EC9B-436A-8BD3-D9D4627DD082}"/>
    <hyperlink ref="C46" r:id="rId60" xr:uid="{B462717F-9D3F-4F8F-AA25-D7FF498C328C}"/>
    <hyperlink ref="C58" r:id="rId61" xr:uid="{83F91559-A99C-4C22-96DE-8332B5F38A54}"/>
    <hyperlink ref="C69" r:id="rId62" xr:uid="{86850D14-8D9C-4F6E-AADA-53375C0462D6}"/>
    <hyperlink ref="C25" r:id="rId63" xr:uid="{CE082DAB-C7B2-4775-8D73-79BB4E6A2171}"/>
    <hyperlink ref="C12:C16" r:id="rId64" display="Click Here" xr:uid="{1F4FF18F-C0E7-4F67-B8D8-862E44390C4F}"/>
    <hyperlink ref="C12" r:id="rId65" xr:uid="{0673F746-59FC-4313-8EB2-BB8902BCFFA2}"/>
    <hyperlink ref="C13" r:id="rId66" xr:uid="{37F8FB72-D8D6-4950-BDD3-F945BA338941}"/>
    <hyperlink ref="C14" r:id="rId67" xr:uid="{CF5B61F9-DF8F-46CD-A8FD-3A23E05622B7}"/>
    <hyperlink ref="C15" r:id="rId68" xr:uid="{2E606189-7E3F-4C37-87AC-CDA7A36B4672}"/>
    <hyperlink ref="C16" r:id="rId69" xr:uid="{81560190-922B-42F2-98B1-89999A7AEFA4}"/>
    <hyperlink ref="C83" r:id="rId70" xr:uid="{52F095D4-0C55-4756-B0AC-83F71EDFCDAD}"/>
    <hyperlink ref="C17" r:id="rId71" xr:uid="{1D40DA46-EF6C-4710-8736-76B3558F8F04}"/>
    <hyperlink ref="C18" r:id="rId72" xr:uid="{FC515B94-1755-42DB-8EE3-E47D69D7C5B8}"/>
    <hyperlink ref="C84" r:id="rId73" xr:uid="{57215B2A-6F02-4028-B0C2-7225E2944DFF}"/>
    <hyperlink ref="C39" r:id="rId74" xr:uid="{6A1491E3-69C9-4B4A-9098-017A0ED38466}"/>
    <hyperlink ref="C26" r:id="rId75" xr:uid="{388E6DDA-B7D1-4068-8582-E5A7F8DE77F1}"/>
    <hyperlink ref="C86" r:id="rId76" xr:uid="{0A5D4D6C-5F91-4BED-821F-188CF01A160B}"/>
    <hyperlink ref="C85" r:id="rId77" xr:uid="{5393AFC2-DD14-4C71-B8CF-C84ABA9D1DA9}"/>
    <hyperlink ref="C87" r:id="rId78" xr:uid="{FE12EA51-DCD8-4F0B-AA23-CC4C5B8B94BA}"/>
    <hyperlink ref="C88" r:id="rId79" xr:uid="{94C78664-04D0-4CDD-92C2-C272454B45C1}"/>
    <hyperlink ref="C89" r:id="rId80" xr:uid="{419C22DB-B7F9-405A-90CE-E093F5CBB981}"/>
    <hyperlink ref="C90" r:id="rId81" xr:uid="{65D43F4D-EBCA-4F3B-BDEB-87AC8BE0CFBC}"/>
    <hyperlink ref="C91" r:id="rId82" xr:uid="{CE290375-E6A2-47E8-9F53-8825F5261D7F}"/>
    <hyperlink ref="C92" r:id="rId83" xr:uid="{6CE8ECEB-9A65-4924-BCE2-1A9571BDB13A}"/>
    <hyperlink ref="C93" r:id="rId84" xr:uid="{A00B21F4-81BA-4980-8D47-A0D360276E04}"/>
  </hyperlinks>
  <pageMargins left="0.7" right="0.7" top="0.75" bottom="0.75" header="0.3" footer="0.3"/>
  <pageSetup orientation="portrait" r:id="rId85"/>
  <drawing r:id="rId8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0e1f1-7edf-47f8-ade6-3fa40173a7ee">
      <Terms xmlns="http://schemas.microsoft.com/office/infopath/2007/PartnerControls"/>
    </lcf76f155ced4ddcb4097134ff3c332f>
    <TaxCatchAll xmlns="921b7353-8eee-4d57-95e7-6707d4aafa1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AA63552E6DD44A4776F0079EC1931" ma:contentTypeVersion="18" ma:contentTypeDescription="Create a new document." ma:contentTypeScope="" ma:versionID="f2ca585ec9caaf73760494464ff1028e">
  <xsd:schema xmlns:xsd="http://www.w3.org/2001/XMLSchema" xmlns:xs="http://www.w3.org/2001/XMLSchema" xmlns:p="http://schemas.microsoft.com/office/2006/metadata/properties" xmlns:ns2="5a40e1f1-7edf-47f8-ade6-3fa40173a7ee" xmlns:ns3="90beab9b-5c97-49ef-80e1-8bede52b6c41" xmlns:ns4="921b7353-8eee-4d57-95e7-6707d4aafa1b" targetNamespace="http://schemas.microsoft.com/office/2006/metadata/properties" ma:root="true" ma:fieldsID="c075f32c7e2696fe9b35e4dde31663a7" ns2:_="" ns3:_="" ns4:_="">
    <xsd:import namespace="5a40e1f1-7edf-47f8-ade6-3fa40173a7ee"/>
    <xsd:import namespace="90beab9b-5c97-49ef-80e1-8bede52b6c41"/>
    <xsd:import namespace="921b7353-8eee-4d57-95e7-6707d4aaf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0e1f1-7edf-47f8-ade6-3fa40173a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e315aa8-bd96-4598-8e4a-1d3aeb7b6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eab9b-5c97-49ef-80e1-8bede52b6c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b7353-8eee-4d57-95e7-6707d4aafa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d1aa2fc-5e0c-4ff8-8250-f19fc1ec4f0e}" ma:internalName="TaxCatchAll" ma:showField="CatchAllData" ma:web="2355ad9a-8dbb-45d3-9cb2-7e6996e25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8E337E-A8F4-400E-A781-7137B24692A3}">
  <ds:schemaRefs>
    <ds:schemaRef ds:uri="http://purl.org/dc/elements/1.1/"/>
    <ds:schemaRef ds:uri="5a40e1f1-7edf-47f8-ade6-3fa40173a7ee"/>
    <ds:schemaRef ds:uri="http://www.w3.org/XML/1998/namespace"/>
    <ds:schemaRef ds:uri="http://schemas.microsoft.com/office/2006/metadata/properties"/>
    <ds:schemaRef ds:uri="921b7353-8eee-4d57-95e7-6707d4aafa1b"/>
    <ds:schemaRef ds:uri="http://purl.org/dc/terms/"/>
    <ds:schemaRef ds:uri="90beab9b-5c97-49ef-80e1-8bede52b6c41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DB55118-D0FF-4B28-B7DA-F08A7996A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0e1f1-7edf-47f8-ade6-3fa40173a7ee"/>
    <ds:schemaRef ds:uri="90beab9b-5c97-49ef-80e1-8bede52b6c41"/>
    <ds:schemaRef ds:uri="921b7353-8eee-4d57-95e7-6707d4aafa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8AA5D9-74E2-4846-A9CD-7382D6B42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Document</vt:lpstr>
      <vt:lpstr>Rules</vt:lpstr>
      <vt:lpstr>Sheet2</vt:lpstr>
      <vt:lpstr>Formatting Style</vt:lpstr>
      <vt:lpstr>Status_report</vt:lpstr>
      <vt:lpstr>Master Document sandeep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Kumar</dc:creator>
  <cp:keywords/>
  <dc:description/>
  <cp:lastModifiedBy>Sheetam Coondoo (External)</cp:lastModifiedBy>
  <cp:revision/>
  <dcterms:created xsi:type="dcterms:W3CDTF">2024-11-15T03:41:09Z</dcterms:created>
  <dcterms:modified xsi:type="dcterms:W3CDTF">2026-05-21T12:03:30Z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0x010100425AA63552E6DD44A4776F0079EC1931</vt:lpwstr>
  </property>
</Properties>
</file>